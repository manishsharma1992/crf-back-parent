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Forms" sheetId="2" state="visible" r:id="rId2"/>
    <sheet xmlns:r="http://schemas.openxmlformats.org/officeDocument/2006/relationships" name="Flag Values" sheetId="3" state="visible" r:id="rId3"/>
    <sheet xmlns:r="http://schemas.openxmlformats.org/officeDocument/2006/relationships" name="Preliminary Q" sheetId="4" state="visible" r:id="rId4"/>
    <sheet xmlns:r="http://schemas.openxmlformats.org/officeDocument/2006/relationships" name="ECB Q" sheetId="5" state="visible" r:id="rId5"/>
    <sheet xmlns:r="http://schemas.openxmlformats.org/officeDocument/2006/relationships" name="Fields" sheetId="6" state="visible" r:id="rId6"/>
    <sheet xmlns:r="http://schemas.openxmlformats.org/officeDocument/2006/relationships" name="FED Q"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22">
    <font>
      <name val="Calibri"/>
      <charset val="1"/>
      <family val="2"/>
      <color theme="1"/>
      <sz val="11"/>
    </font>
    <font>
      <name val="Arial"/>
      <family val="0"/>
      <sz val="10"/>
    </font>
    <font>
      <name val="Arial"/>
      <family val="0"/>
      <sz val="10"/>
    </font>
    <font>
      <name val="Arial"/>
      <family val="0"/>
      <sz val="10"/>
    </font>
    <font>
      <name val="Calibri"/>
      <charset val="1"/>
      <family val="0"/>
      <b val="1"/>
      <color rgb="FF1F6B3B"/>
      <sz val="15"/>
    </font>
    <font>
      <name val="Calibri"/>
      <charset val="1"/>
      <family val="0"/>
      <i val="1"/>
      <sz val="10"/>
    </font>
    <font>
      <name val="Calibri"/>
      <charset val="1"/>
      <family val="0"/>
      <b val="1"/>
      <color rgb="FF1F6B3B"/>
      <sz val="11"/>
    </font>
    <font>
      <name val="Calibri"/>
      <charset val="1"/>
      <family val="0"/>
      <sz val="10"/>
    </font>
    <font>
      <name val="Consolas"/>
      <charset val="1"/>
      <family val="0"/>
      <sz val="10"/>
    </font>
    <font>
      <name val="Consolas"/>
      <charset val="1"/>
      <family val="0"/>
      <b val="1"/>
      <sz val="10"/>
    </font>
    <font>
      <name val="Calibri"/>
      <charset val="1"/>
      <family val="0"/>
      <b val="1"/>
      <sz val="10"/>
    </font>
    <font>
      <name val="Calibri"/>
      <charset val="1"/>
      <family val="0"/>
      <b val="1"/>
      <color rgb="FFFFFFFF"/>
      <sz val="11"/>
    </font>
    <font>
      <name val="Calibri"/>
      <charset val="1"/>
      <family val="0"/>
      <i val="1"/>
      <sz val="9"/>
    </font>
    <font>
      <b val="1"/>
      <color rgb="FFFFFFFF"/>
      <sz val="11"/>
    </font>
    <font>
      <b val="1"/>
      <sz val="10"/>
    </font>
    <font>
      <sz val="10"/>
    </font>
    <font>
      <i val="1"/>
      <color rgb="FF7F7F7F"/>
      <sz val="10"/>
    </font>
    <font>
      <b val="1"/>
      <color rgb="FF1F6B3B"/>
      <sz val="11"/>
    </font>
    <font>
      <name val="Consolas"/>
      <b val="1"/>
      <sz val="10"/>
    </font>
    <font>
      <name val="Consolas"/>
      <sz val="10"/>
    </font>
    <font>
      <b val="1"/>
      <color rgb="FF1F6B3B"/>
      <sz val="14"/>
    </font>
    <font>
      <i val="1"/>
      <color rgb="FFB03030"/>
      <sz val="10"/>
    </font>
  </fonts>
  <fills count="9">
    <fill>
      <patternFill/>
    </fill>
    <fill>
      <patternFill patternType="gray125"/>
    </fill>
    <fill>
      <patternFill patternType="solid">
        <fgColor rgb="FFF2F2F2"/>
        <bgColor rgb="FFEEF3F8"/>
      </patternFill>
    </fill>
    <fill>
      <patternFill patternType="solid">
        <fgColor rgb="FFDDEBE2"/>
        <bgColor rgb="FFEEF3F8"/>
      </patternFill>
    </fill>
    <fill>
      <patternFill patternType="solid">
        <fgColor rgb="FFEEF3F8"/>
        <bgColor rgb="FFF2F2F2"/>
      </patternFill>
    </fill>
    <fill>
      <patternFill patternType="solid">
        <fgColor rgb="FF1F6B3B"/>
        <bgColor rgb="FF008080"/>
      </patternFill>
    </fill>
    <fill>
      <patternFill patternType="solid">
        <fgColor rgb="FF1F6B3B"/>
      </patternFill>
    </fill>
    <fill>
      <patternFill patternType="solid">
        <fgColor rgb="FFDDEBE2"/>
      </patternFill>
    </fill>
    <fill>
      <patternFill patternType="solid">
        <fgColor rgb="FFEEF3F8"/>
      </patternFill>
    </fill>
  </fills>
  <borders count="4">
    <border>
      <left/>
      <right/>
      <top/>
      <bottom/>
      <diagonal/>
    </border>
    <border>
      <left style="thin">
        <color rgb="FFBBBBBB"/>
      </left>
      <right style="thin">
        <color rgb="FFBBBBBB"/>
      </right>
      <top style="thin">
        <color rgb="FFBBBBBB"/>
      </top>
      <bottom style="thin">
        <color rgb="FFBBBBBB"/>
      </bottom>
      <diagonal/>
    </border>
    <border>
      <bottom style="thin"/>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2" borderId="1" applyAlignment="1" pivotButton="0" quotePrefix="0" xfId="0">
      <alignment horizontal="left" vertical="top" wrapText="1"/>
    </xf>
    <xf numFmtId="0" fontId="7" fillId="0" borderId="1" applyAlignment="1" pivotButton="0" quotePrefix="0" xfId="0">
      <alignment horizontal="left" vertical="top" wrapText="1"/>
    </xf>
    <xf numFmtId="0" fontId="9" fillId="3" borderId="1" applyAlignment="1" pivotButton="0" quotePrefix="0" xfId="0">
      <alignment horizontal="left" vertical="top" wrapText="1"/>
    </xf>
    <xf numFmtId="0" fontId="10" fillId="0" borderId="1" applyAlignment="1" pivotButton="0" quotePrefix="0" xfId="0">
      <alignment horizontal="left" vertical="top" wrapText="1"/>
    </xf>
    <xf numFmtId="0" fontId="8" fillId="4" borderId="1" applyAlignment="1" pivotButton="0" quotePrefix="0" xfId="0">
      <alignment horizontal="left" vertical="top" wrapText="1"/>
    </xf>
    <xf numFmtId="0" fontId="9" fillId="0" borderId="0" applyAlignment="1" pivotButton="0" quotePrefix="0" xfId="0">
      <alignment horizontal="left" vertical="top" wrapText="1"/>
    </xf>
    <xf numFmtId="0" fontId="11" fillId="5" borderId="0" applyAlignment="1" pivotButton="0" quotePrefix="0" xfId="0">
      <alignment horizontal="general" vertical="bottom"/>
    </xf>
    <xf numFmtId="0" fontId="0" fillId="5" borderId="0" applyAlignment="1" pivotButton="0" quotePrefix="0" xfId="0">
      <alignment horizontal="general" vertical="bottom"/>
    </xf>
    <xf numFmtId="0" fontId="10" fillId="3" borderId="1" applyAlignment="1" pivotButton="0" quotePrefix="0" xfId="0">
      <alignment horizontal="general" vertical="top" wrapText="1"/>
    </xf>
    <xf numFmtId="0" fontId="7" fillId="0" borderId="1" applyAlignment="1" pivotButton="0" quotePrefix="0" xfId="0">
      <alignment horizontal="general" vertical="top" wrapText="1"/>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2" borderId="1" applyAlignment="1" pivotButton="0" quotePrefix="0" xfId="0">
      <alignment horizontal="left" vertical="top" wrapText="1"/>
    </xf>
    <xf numFmtId="0" fontId="7" fillId="0" borderId="1" applyAlignment="1" pivotButton="0" quotePrefix="0" xfId="0">
      <alignment horizontal="left" vertical="top" wrapText="1"/>
    </xf>
    <xf numFmtId="0" fontId="9" fillId="3" borderId="1" applyAlignment="1" pivotButton="0" quotePrefix="0" xfId="0">
      <alignment horizontal="left" vertical="top" wrapText="1"/>
    </xf>
    <xf numFmtId="0" fontId="10" fillId="0" borderId="1" applyAlignment="1" pivotButton="0" quotePrefix="0" xfId="0">
      <alignment horizontal="left" vertical="top" wrapText="1"/>
    </xf>
    <xf numFmtId="0" fontId="8" fillId="4" borderId="1" applyAlignment="1" pivotButton="0" quotePrefix="0" xfId="0">
      <alignment horizontal="left" vertical="top" wrapText="1"/>
    </xf>
    <xf numFmtId="0" fontId="9" fillId="0" borderId="0" applyAlignment="1" pivotButton="0" quotePrefix="0" xfId="0">
      <alignment horizontal="left" vertical="top" wrapText="1"/>
    </xf>
    <xf numFmtId="0" fontId="17" fillId="0" borderId="0" applyAlignment="1" pivotButton="0" quotePrefix="0" xfId="0">
      <alignment vertical="top" wrapText="1"/>
    </xf>
    <xf numFmtId="0" fontId="15" fillId="0" borderId="0" applyAlignment="1" pivotButton="0" quotePrefix="0" xfId="0">
      <alignment vertical="top" wrapText="1"/>
    </xf>
    <xf numFmtId="0" fontId="18" fillId="7" borderId="2" applyAlignment="1" pivotButton="0" quotePrefix="0" xfId="0">
      <alignment vertical="top" wrapText="1"/>
    </xf>
    <xf numFmtId="0" fontId="14" fillId="0" borderId="2" applyAlignment="1" pivotButton="0" quotePrefix="0" xfId="0">
      <alignment vertical="top" wrapText="1"/>
    </xf>
    <xf numFmtId="0" fontId="19" fillId="8" borderId="2" applyAlignment="1" pivotButton="0" quotePrefix="0" xfId="0">
      <alignment vertical="top" wrapText="1"/>
    </xf>
    <xf numFmtId="0" fontId="15" fillId="0" borderId="2" applyAlignment="1" pivotButton="0" quotePrefix="0" xfId="0">
      <alignment vertical="top" wrapText="1"/>
    </xf>
    <xf numFmtId="0" fontId="11" fillId="5" borderId="0" applyAlignment="1" pivotButton="0" quotePrefix="0" xfId="0">
      <alignment horizontal="general" vertical="bottom"/>
    </xf>
    <xf numFmtId="0" fontId="0" fillId="5" borderId="0" applyAlignment="1" pivotButton="0" quotePrefix="0" xfId="0">
      <alignment horizontal="general" vertical="bottom"/>
    </xf>
    <xf numFmtId="0" fontId="10" fillId="3" borderId="1" applyAlignment="1" pivotButton="0" quotePrefix="0" xfId="0">
      <alignment horizontal="general" vertical="top" wrapText="1"/>
    </xf>
    <xf numFmtId="0" fontId="7" fillId="0" borderId="1" applyAlignment="1" pivotButton="0" quotePrefix="0" xfId="0">
      <alignment horizontal="general" vertical="top" wrapText="1"/>
    </xf>
    <xf numFmtId="0" fontId="13" fillId="6" borderId="0" pivotButton="0" quotePrefix="0" xfId="0"/>
    <xf numFmtId="0" fontId="0" fillId="6" borderId="0" pivotButton="0" quotePrefix="0" xfId="0"/>
    <xf numFmtId="0" fontId="14" fillId="7" borderId="2" applyAlignment="1" pivotButton="0" quotePrefix="0" xfId="0">
      <alignment vertical="top" wrapText="1"/>
    </xf>
    <xf numFmtId="0" fontId="16" fillId="0" borderId="0" applyAlignment="1" pivotButton="0" quotePrefix="0" xfId="0">
      <alignment vertical="top" wrapText="1"/>
    </xf>
    <xf numFmtId="0" fontId="12" fillId="0" borderId="0" applyAlignment="1" pivotButton="0" quotePrefix="0" xfId="0">
      <alignment horizontal="general" vertical="bottom"/>
    </xf>
    <xf numFmtId="0" fontId="12" fillId="0" borderId="0" applyAlignment="1" pivotButton="0" quotePrefix="0" xfId="0">
      <alignment vertical="top" wrapText="1"/>
    </xf>
    <xf numFmtId="0" fontId="20" fillId="0" borderId="0" pivotButton="0" quotePrefix="0" xfId="0"/>
    <xf numFmtId="0" fontId="16" fillId="0" borderId="0" pivotButton="0" quotePrefix="0" xfId="0"/>
    <xf numFmtId="0" fontId="21" fillId="0" borderId="0" applyAlignment="1" pivotButton="0" quotePrefix="0" xfId="0">
      <alignment vertical="top" wrapText="1"/>
    </xf>
    <xf numFmtId="0" fontId="13" fillId="6" borderId="3" pivotButton="0" quotePrefix="0" xfId="0"/>
    <xf numFmtId="0" fontId="0" fillId="6" borderId="3" pivotButton="0" quotePrefix="0" xfId="0"/>
    <xf numFmtId="0" fontId="16" fillId="0" borderId="3" applyAlignment="1" pivotButton="0" quotePrefix="0" xfId="0">
      <alignment vertical="top" wrapText="1"/>
    </xf>
    <xf numFmtId="0" fontId="0" fillId="0" borderId="3" pivotButton="0" quotePrefix="0" xfId="0"/>
    <xf numFmtId="0" fontId="15" fillId="0" borderId="3"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1F6B3B"/>
      <rgbColor rgb="FF000080"/>
      <rgbColor rgb="FF808000"/>
      <rgbColor rgb="FF800080"/>
      <rgbColor rgb="FF008080"/>
      <rgbColor rgb="FFBBBBBB"/>
      <rgbColor rgb="FF808080"/>
      <rgbColor rgb="FF9999FF"/>
      <rgbColor rgb="FF993366"/>
      <rgbColor rgb="FFF2F2F2"/>
      <rgbColor rgb="FFEEF3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BE2"/>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9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8" customWidth="1" style="16" min="1" max="1"/>
    <col width="78" customWidth="1" style="16" min="2" max="2"/>
  </cols>
  <sheetData>
    <row r="1" ht="18.55" customHeight="1" s="17">
      <c r="A1" s="18" t="inlineStr">
        <is>
          <t>Leverage Decision Tree — Authoring Template</t>
        </is>
      </c>
    </row>
    <row r="2" ht="23.85" customHeight="1" s="17">
      <c r="A2" s="19" t="inlineStr">
        <is>
          <t>How a Business Analyst writes and changes a decision tree without touching code.</t>
        </is>
      </c>
    </row>
    <row r="4" ht="15" customHeight="1" s="17">
      <c r="A4" s="20" t="inlineStr">
        <is>
          <t>1.  THE GOLDEN RULE</t>
        </is>
      </c>
    </row>
    <row r="5" ht="23.85" customHeight="1" s="17">
      <c r="A5" s="21" t="inlineStr">
        <is>
          <t>edit this sheet and upload it. Nothing in the application code changes. That is the entire point of the design.</t>
        </is>
      </c>
    </row>
    <row r="6" ht="23.85" customHeight="1" s="17">
      <c r="A6" s="21" t="inlineStr">
        <is>
          <t>in-progress analyses stay reproducible); new analyses use the new version automatically.</t>
        </is>
      </c>
    </row>
    <row r="7" ht="15" customHeight="1" s="17">
      <c r="A7" s="20" t="inlineStr">
        <is>
          <t>2.  WHAT HAPPENS WHEN YOU UPLOAD</t>
        </is>
      </c>
    </row>
    <row r="8" ht="23.85" customHeight="1" s="17">
      <c r="A8" s="21" t="inlineStr">
        <is>
          <t>• Risk &amp; Finance approve the question CONTENT beforehand; this sheet is the faithful transcription of it.</t>
        </is>
      </c>
    </row>
    <row r="9" ht="15" customHeight="1" s="17">
      <c r="A9" s="20" t="inlineStr">
        <is>
          <t>3.  THE TABS</t>
        </is>
      </c>
    </row>
    <row r="10" ht="15" customHeight="1" s="17">
      <c r="A10" s="22" t="inlineStr">
        <is>
          <t>Forms</t>
        </is>
      </c>
      <c r="B10" s="23" t="inlineStr">
        <is>
          <t>One row per form (its starting question and languages) plus the Outcomes, Flags, Validation Messages and Info Panels catalogues.</t>
        </is>
      </c>
    </row>
    <row r="11" ht="15" customHeight="1" s="17">
      <c r="A11" s="22" t="inlineStr">
        <is>
          <t>Preliminary Q</t>
        </is>
      </c>
      <c r="B11" s="23" t="inlineStr">
        <is>
          <t>The preliminary questions. Filled in as a complete, real example — study this one first.</t>
        </is>
      </c>
    </row>
    <row r="12" ht="15" customHeight="1" s="17">
      <c r="A12" s="22" t="inlineStr">
        <is>
          <t>ECB Q</t>
        </is>
      </c>
      <c r="B12" s="23" t="inlineStr">
        <is>
          <t>The ECB form. Wired to the confirmed BRs, including both LBO scenarios and the Status-of-counterparty block.</t>
        </is>
      </c>
    </row>
    <row r="13" ht="32" customHeight="1" s="17">
      <c r="A13" s="32" t="inlineStr">
        <is>
          <t>Fields</t>
        </is>
      </c>
      <c r="B13" s="33" t="inlineStr">
        <is>
          <t>One row per box inside a DATA_ENTRY question (the financial table).</t>
        </is>
      </c>
    </row>
    <row r="14" ht="28" customHeight="1" s="17">
      <c r="A14" s="32" t="inlineStr">
        <is>
          <t>Flag Values</t>
        </is>
      </c>
      <c r="B14" s="33" t="inlineStr">
        <is>
          <t>What each coded flag stores in the database, and how a stored number is displayed.</t>
        </is>
      </c>
    </row>
    <row r="15" ht="15" customHeight="1" s="17">
      <c r="A15" s="22" t="inlineStr">
        <is>
          <t>FED Q</t>
        </is>
      </c>
      <c r="B15" s="23" t="inlineStr">
        <is>
          <t>The FED form (example rows to replace).</t>
        </is>
      </c>
    </row>
    <row r="16" ht="15" customHeight="1" s="17"/>
    <row r="17" ht="15" customHeight="1" s="17">
      <c r="A17" s="20" t="inlineStr">
        <is>
          <t>4.  THE QUESTION COLUMNS  (in order, left to right)</t>
        </is>
      </c>
    </row>
    <row r="18" ht="15" customHeight="1" s="17">
      <c r="A18" s="24" t="inlineStr">
        <is>
          <t>Column</t>
        </is>
      </c>
      <c r="B18" s="25" t="inlineStr">
        <is>
          <t>What it means</t>
        </is>
      </c>
    </row>
    <row r="19" ht="15" customHeight="1" s="17">
      <c r="A19" s="26" t="inlineStr">
        <is>
          <t>Question Key</t>
        </is>
      </c>
      <c r="B19" s="23" t="inlineStr">
        <is>
          <t>A short stable code: Q01, Q02 … Never reuse or rename a key once analyses exist.</t>
        </is>
      </c>
    </row>
    <row r="20" ht="15" customHeight="1" s="17">
      <c r="A20" s="26" t="inlineStr">
        <is>
          <t>Type</t>
        </is>
      </c>
      <c r="B20" s="23" t="inlineStr">
        <is>
          <t>One of six — see section 5.</t>
        </is>
      </c>
    </row>
    <row r="21" ht="15" customHeight="1" s="17">
      <c r="A21" s="26" t="inlineStr">
        <is>
          <t>Mandatory</t>
        </is>
      </c>
      <c r="B21" s="23" t="inlineStr">
        <is>
          <t>Yes/No. Must the analyst answer before moving on?  For a CHECKLIST it is always Yes and applies to EVERY item — see section 9.</t>
        </is>
      </c>
    </row>
    <row r="22" ht="15" customHeight="1" s="17">
      <c r="A22" s="26" t="inlineStr">
        <is>
          <t>Computed</t>
        </is>
      </c>
      <c r="B22" s="23" t="inlineStr">
        <is>
          <t>Yes/No. Yes = the SYSTEM fills the value, the analyst never types it.</t>
        </is>
      </c>
    </row>
    <row r="23" ht="15" customHeight="1" s="17">
      <c r="A23" s="26" t="inlineStr">
        <is>
          <t>Editable</t>
        </is>
      </c>
      <c r="B23" s="23" t="inlineStr">
        <is>
          <t>Yes/No. May the analyst change the value? (A read-only computed field is Computed=Yes, Editable=No.)</t>
        </is>
      </c>
    </row>
    <row r="24" ht="15" customHeight="1" s="17">
      <c r="A24" s="26" t="n"/>
      <c r="B24" s="23" t="inlineStr">
        <is>
          <t xml:space="preserve">        waits for the result, then continues. Only the ECB ratio uses this today.</t>
        </is>
      </c>
    </row>
    <row r="25" ht="52" customHeight="1" s="17">
      <c r="A25" s="26" t="inlineStr">
        <is>
          <t>Derived From</t>
        </is>
      </c>
      <c r="B25" s="23" t="inlineStr">
        <is>
          <t>Where a system-filled value comes from:  CALC/x  computed in the domain layer,  FINANCIALS/x  read from the financials table,  COUNTERPARTY/PARENT ,  OUTCOME . Never fill this AND Value Rules on the same row.</t>
        </is>
      </c>
    </row>
    <row r="26" ht="15" customHeight="1" s="17">
      <c r="A26" s="26" t="n"/>
      <c r="B26" s="23" t="inlineStr">
        <is>
          <t xml:space="preserve">        display, or RATING_MOTOR/ECB_LEVERAGE_RATIO for the external ratio. Blank otherwise.</t>
        </is>
      </c>
    </row>
    <row r="27" ht="40" customHeight="1" s="17">
      <c r="A27" s="32" t="inlineStr">
        <is>
          <t>Value Rules</t>
        </is>
      </c>
      <c r="B27" s="33" t="inlineStr">
        <is>
          <t>For COMPUTED questions whose value depends on EARLIER ANSWERS. One rule per line: CONDITION -&gt; VALUE. First match wins. See section 5b.</t>
        </is>
      </c>
    </row>
    <row r="28" ht="40" customHeight="1" s="17">
      <c r="A28" s="32" t="inlineStr">
        <is>
          <t>Prefill From</t>
        </is>
      </c>
      <c r="B28" s="33" t="inlineStr">
        <is>
          <t>The answer is copied from another form if it was already given there, e.g.  FED/Q01 . If the source has a value the field is filled and locked; otherwise the analyst answers normally.</t>
        </is>
      </c>
    </row>
    <row r="29" ht="15" customHeight="1" s="17">
      <c r="A29" s="29" t="inlineStr"/>
    </row>
    <row r="30" ht="15" customHeight="1" s="17">
      <c r="A30" s="29" t="inlineStr"/>
    </row>
    <row r="31" ht="15" customHeight="1" s="17">
      <c r="A31" s="26" t="inlineStr">
        <is>
          <t>Label EN / FR</t>
        </is>
      </c>
      <c r="B31" s="23" t="inlineStr">
        <is>
          <t>The question text, in each language. Both are required.</t>
        </is>
      </c>
    </row>
    <row r="32" ht="15" customHeight="1" s="17">
      <c r="A32" s="26" t="inlineStr">
        <is>
          <t>Bullets EN / FR</t>
        </is>
      </c>
      <c r="B32" s="23" t="inlineStr">
        <is>
          <t>Optional list shown under the question. One bullet per line (press Alt+Enter inside the cell).</t>
        </is>
      </c>
    </row>
    <row r="33" ht="15" customHeight="1" s="17">
      <c r="A33" s="26" t="inlineStr">
        <is>
          <t>Subtitle EN / FR</t>
        </is>
      </c>
      <c r="B33" s="23" t="inlineStr">
        <is>
          <t>Optional helper text shown in the (i) icon. Blank = none.</t>
        </is>
      </c>
    </row>
    <row r="34" ht="15" customHeight="1" s="17">
      <c r="A34" s="26" t="inlineStr">
        <is>
          <t>Note EN / FR</t>
        </is>
      </c>
      <c r="B34" s="23" t="inlineStr">
        <is>
          <t>Optional note shown under the question. Blank = none.</t>
        </is>
      </c>
    </row>
    <row r="35" ht="40" customHeight="1" s="17">
      <c r="A35" s="32" t="inlineStr">
        <is>
          <t>Note Bullets EN / FR</t>
        </is>
      </c>
      <c r="B35" s="33" t="inlineStr">
        <is>
          <t>Bullet points under the note — this is the tooltip text. One bullet per line starting with  -  , and  --  for a sub-bullet.</t>
        </is>
      </c>
    </row>
    <row r="36" ht="15" customHeight="1" s="17">
      <c r="A36" s="26" t="inlineStr">
        <is>
          <t>Options</t>
        </is>
      </c>
      <c r="B36" s="23" t="inlineStr">
        <is>
          <t>For SINGLE_CHOICE: the allowed answers. See section 6.</t>
        </is>
      </c>
    </row>
    <row r="37" ht="15" customHeight="1" s="17">
      <c r="A37" s="26" t="inlineStr">
        <is>
          <t>Items</t>
        </is>
      </c>
      <c r="B37" s="23" t="inlineStr">
        <is>
          <t>For CHECKLIST: the yes/no sub-questions. See section 6.</t>
        </is>
      </c>
    </row>
    <row r="38" ht="15" customHeight="1" s="17">
      <c r="A38" s="26" t="inlineStr">
        <is>
          <t>Fields</t>
        </is>
      </c>
      <c r="B38" s="23" t="inlineStr">
        <is>
          <t>For DATA_ENTRY: the input rows of the table. See section 6.</t>
        </is>
      </c>
    </row>
    <row r="39" ht="40" customHeight="1" s="17">
      <c r="A39" s="26" t="inlineStr">
        <is>
          <t>Branches</t>
        </is>
      </c>
      <c r="B39" s="23" t="inlineStr">
        <is>
          <t>What each answer DOES — the routing. See section 7. This is the important one.</t>
        </is>
      </c>
    </row>
    <row r="40" ht="15" customHeight="1" s="17">
      <c r="A40" s="32" t="inlineStr">
        <is>
          <t>Fills Flag</t>
        </is>
      </c>
      <c r="B40" s="33" t="inlineStr">
        <is>
          <t>Optional. The chosen option BECOMES this flag, so you do not need one branch per option. Q-Q03 uses it for the covenant structure.</t>
        </is>
      </c>
    </row>
    <row r="41" ht="15" customHeight="1" s="17"/>
    <row r="42" ht="15" customHeight="1" s="17">
      <c r="A42" s="20" t="inlineStr">
        <is>
          <t>5.  THE QUESTION TYPES</t>
        </is>
      </c>
    </row>
    <row r="43" ht="15" customHeight="1" s="17">
      <c r="A43" s="24" t="inlineStr">
        <is>
          <t>Type</t>
        </is>
      </c>
      <c r="B43" s="25" t="inlineStr">
        <is>
          <t>What it is  /  which columns it uses</t>
        </is>
      </c>
    </row>
    <row r="44" ht="23.85" customHeight="1" s="17">
      <c r="A44" s="26" t="inlineStr">
        <is>
          <t>SINGLE_CHOICE</t>
        </is>
      </c>
      <c r="B44" s="23" t="inlineStr">
        <is>
          <t>Pick one answer from a list (this replaces the old Yes/No 'BOOLEAN'). Uses Options + Branches.</t>
        </is>
      </c>
    </row>
    <row r="45" ht="52" customHeight="1" s="17">
      <c r="A45" s="26" t="inlineStr">
        <is>
          <t>NUMERIC</t>
        </is>
      </c>
      <c r="B45" s="23" t="inlineStr">
        <is>
          <t>The analyst types a number. Routes using range [...] in Branches.</t>
        </is>
      </c>
    </row>
    <row r="46" ht="15" customHeight="1" s="17">
      <c r="A46" s="26" t="inlineStr">
        <is>
          <t>TEXT</t>
        </is>
      </c>
      <c r="B46" s="23" t="inlineStr">
        <is>
          <t>Free text. No routing of its own — give it one  * -&gt; Qxx  branch to continue.</t>
        </is>
      </c>
    </row>
    <row r="47" ht="23.85" customHeight="1" s="17">
      <c r="A47" s="26" t="inlineStr">
        <is>
          <t>CHECKLIST</t>
        </is>
      </c>
      <c r="B47" s="23" t="inlineStr">
        <is>
          <t>Several sub-items (Items), each answered Yes or No by the analyst. Routes on ANY_YES / ALL_NO. Every item is mandatory, and unanswered items become "Not applicable" automatically — see section 9.</t>
        </is>
      </c>
    </row>
    <row r="48" ht="44" customHeight="1" s="17">
      <c r="A48" s="26" t="inlineStr">
        <is>
          <t>DATA_ENTRY</t>
        </is>
      </c>
      <c r="B48" s="23" t="inlineStr">
        <is>
          <t>A table of boxes — the financial data. The boxes are rows on the Fields tab. Derived boxes are calculated in the domain layer on save; nothing waits on an outside service.</t>
        </is>
      </c>
    </row>
    <row r="49" ht="52" customHeight="1" s="17">
      <c r="A49" s="26" t="inlineStr">
        <is>
          <t>COMPUTED</t>
        </is>
      </c>
      <c r="B49" s="23" t="inlineStr">
        <is>
          <t>The system fills the value. Use Derived From when it has one fixed source, or Value Rules when it depends on earlier answers. It never pauses — the value is worked out and the form moves on in the same step.</t>
        </is>
      </c>
    </row>
    <row r="50" ht="56" customHeight="1" s="17">
      <c r="A50" s="26" t="n"/>
      <c r="B50" s="23" t="inlineStr">
        <is>
          <t xml:space="preserve">        returned number. A plain COMPUTED output just displays. If External=No the system fills it and moves on in the SAME step — it never waits for the analyst. Use Value Rules (section 5b) when the value depends on earlier answers.</t>
        </is>
      </c>
    </row>
    <row r="51" ht="23.85" customHeight="1" s="17">
      <c r="A51" s="32" t="inlineStr">
        <is>
          <t>LOOKUP</t>
        </is>
      </c>
      <c r="B51" s="33" t="inlineStr">
        <is>
          <t>The analyst types and the system offers matching records — counterparties today, industries tomorrow. Options names the list, e.g. LOOKUP/COUNTERPARTY. Continues with a single  * -&gt; Qxx  branch, or ends the form.</t>
        </is>
      </c>
    </row>
    <row r="52" ht="40" customHeight="1" s="17"/>
    <row r="53" ht="64" customHeight="1" s="17">
      <c r="A53" s="28" t="inlineStr">
        <is>
          <t>5b.  COMPUTED VALUES THAT DEPEND ON EARLIER ANSWERS  (the Value Rules column)</t>
        </is>
      </c>
    </row>
    <row r="54" ht="30" customHeight="1" s="17">
      <c r="A54" s="29" t="inlineStr">
        <is>
          <t>Some system-filled questions have no single source — the value depends on HOW the analyst got there. Write one rule per line, exactly like Branches, but the arrow points at a VALUE from the Options list instead of a question:</t>
        </is>
      </c>
    </row>
    <row r="55" ht="30" customHeight="1" s="17">
      <c r="A55" s="32" t="inlineStr">
        <is>
          <t>Q-S1 is UMC     -&gt; BUSINESS_GROUP
Q-S2 is NO      -&gt; BORROWER
Q-S3 is YES     -&gt; BORROWER
Q-S3 is NO      -&gt; BUSINESS_GROUP</t>
        </is>
      </c>
      <c r="B55" s="33" t="inlineStr">
        <is>
          <t>Q-S4 "Level of leveraged calculation" is filled from whichever question led to it. The Options column still supplies the EN/FR wording of each value.</t>
        </is>
      </c>
    </row>
    <row r="56" ht="23.85" customHeight="1" s="17">
      <c r="A56" s="29" t="inlineStr">
        <is>
          <t>Rules are tried top to bottom and the first match wins. A question the analyst never reached is BLANK, and a blank question matches nothing — that is what keeps the unused rules quiet.</t>
        </is>
      </c>
    </row>
    <row r="57" ht="23.85" customHeight="1" s="17">
      <c r="A57" s="29" t="inlineStr">
        <is>
          <t>Use Derived From (not Value Rules) when the value has ONE fixed source, such as the rating engine or the RMPM record. Never fill both columns on the same row.</t>
        </is>
      </c>
    </row>
    <row r="58" ht="40" customHeight="1" s="17"/>
    <row r="59" ht="64" customHeight="1" s="17">
      <c r="A59" s="28" t="inlineStr">
        <is>
          <t>5c.  A COMPUTED QUESTION CAN STILL ROUTE ON HOW IT WAS REACHED</t>
        </is>
      </c>
    </row>
    <row r="60" ht="30" customHeight="1" s="17">
      <c r="A60" s="29" t="inlineStr">
        <is>
          <t>Q-S4 is the worked example. Its own value cannot decide where to go next, because "Borrower Level" happens on two different paths — one ends the form, one continues. So its Branches test the earlier questions instead:</t>
        </is>
      </c>
    </row>
    <row r="61" ht="15" customHeight="1" s="17">
      <c r="A61" s="32" t="inlineStr">
        <is>
          <t>Q-S3 is YES -&gt; END, flags: ecbLeveragedFlag=ECB_NOT_LEVERAGED
Q-S3 is NO  -&gt; Q-S5
Q01 is YES  -&gt; Q03
*           -&gt; Q-T1</t>
        </is>
      </c>
      <c r="B61" s="33" t="inlineStr">
        <is>
          <t>Reached from Q-S3 = Yes, the form stops. Reached from Q-S3 = No, it continues to Q-S5. Reached any other way (Q-S3 was never displayed, so it is blank) the LBO answer decides which block comes next.</t>
        </is>
      </c>
    </row>
    <row r="62" ht="15" customHeight="1" s="17">
      <c r="A62" s="29" t="inlineStr">
        <is>
          <t>This is also how the two LBO scenarios share one set of rows: the blocks are the same, the ORDER differs, so a few branches test Q01. Follow Q-B1, Q-S4 and Q02 on the ECB Q tab to see the two paths.</t>
        </is>
      </c>
    </row>
    <row r="63" ht="40" customHeight="1" s="17"/>
    <row r="64" ht="15" customHeight="1" s="17">
      <c r="A64" s="28" t="inlineStr">
        <is>
          <t>5d.  PREFILL FROM ANOTHER FORM</t>
        </is>
      </c>
    </row>
    <row r="65" ht="15" customHeight="1" s="17">
      <c r="A65" s="29" t="inlineStr">
        <is>
          <t>ECB Q01 and Q-S6 are both answered on the FED form when that form is shown first. Write  FED/Q01  in the Prefill From column: if the FED answer exists it is copied and the field is read-only; if not, the analyst answers it here as usual.</t>
        </is>
      </c>
    </row>
    <row r="66" ht="15" customHeight="1" s="17"/>
    <row r="67" ht="15" customHeight="1" s="17"/>
    <row r="68" ht="15" customHeight="1" s="17"/>
    <row r="69" ht="15" customHeight="1" s="17">
      <c r="A69" s="20" t="inlineStr">
        <is>
          <t>6.  OPTIONS / ITEMS  — cell formats</t>
        </is>
      </c>
    </row>
    <row r="70" ht="15" customHeight="1" s="17">
      <c r="A70" s="21" t="inlineStr">
        <is>
          <t>Separate each entry with a semicolon ' ; '. Separate the parts of one entry with a pipe '|'.</t>
        </is>
      </c>
    </row>
    <row r="71">
      <c r="A71" s="24" t="inlineStr">
        <is>
          <t>Options</t>
        </is>
      </c>
      <c r="B71" s="25" t="inlineStr">
        <is>
          <t>value | English | French      (one per ' ; ')</t>
        </is>
      </c>
    </row>
    <row r="72" ht="15" customHeight="1" s="17">
      <c r="A72" s="26" t="inlineStr">
        <is>
          <t>YES|Yes|Oui ; NO|No|Non</t>
        </is>
      </c>
      <c r="B72" s="23" t="inlineStr">
        <is>
          <t>two options, Yes and No</t>
        </is>
      </c>
    </row>
    <row r="73" ht="15" customHeight="1" s="17">
      <c r="A73" s="24" t="inlineStr">
        <is>
          <t>Items  (CHECKLIST)</t>
        </is>
      </c>
      <c r="B73" s="25" t="inlineStr">
        <is>
          <t>itemKey | English | French      (one per ' ; ').  Every item is mandatory — nothing to mark per item.</t>
        </is>
      </c>
    </row>
    <row r="74" ht="30" customHeight="1" s="17">
      <c r="A74" s="26" t="inlineStr">
        <is>
          <t>sme|SME (turnover &lt; 50M€)|PME ; sovereign|Sovereign/Public|Souverain</t>
        </is>
      </c>
      <c r="B74" s="23" t="inlineStr">
        <is>
          <t>two checklist items</t>
        </is>
      </c>
    </row>
    <row r="75" ht="20" customHeight="1" s="17">
      <c r="A75" s="32" t="inlineStr">
        <is>
          <t>Options  (LOOKUP)</t>
        </is>
      </c>
      <c r="B75" s="33" t="inlineStr">
        <is>
          <t>LOOKUP/&lt;list name&gt; — no values are typed out; the application supplies them.</t>
        </is>
      </c>
    </row>
    <row r="76" ht="15" customHeight="1" s="17">
      <c r="A76" s="32" t="inlineStr">
        <is>
          <t>LOOKUP/COUNTERPARTY</t>
        </is>
      </c>
      <c r="B76" s="33" t="inlineStr">
        <is>
          <t>autocomplete over RMPM counterparties</t>
        </is>
      </c>
    </row>
    <row r="77" ht="23.85" customHeight="1" s="17"/>
    <row r="78" ht="23.85" customHeight="1" s="17">
      <c r="A78" s="20" t="inlineStr">
        <is>
          <t>7.  BRANCHES &amp; CONDITIONS  — the routing language</t>
        </is>
      </c>
    </row>
    <row r="79" ht="102.2" customHeight="1" s="17">
      <c r="A79" s="21" t="inlineStr">
        <is>
          <t>The Branches cell holds ONE RULE PER LINE (press Alt+Enter for a new line). Each rule reads:</t>
        </is>
      </c>
    </row>
    <row r="80">
      <c r="A80" s="27" t="inlineStr">
        <is>
          <t xml:space="preserve">        CONDITION  -&gt;  TARGET  [, outcome=CODE]  [, flags: key=value; key=value]</t>
        </is>
      </c>
    </row>
    <row r="81" ht="15" customHeight="1" s="17">
      <c r="A81" s="21" t="inlineStr">
        <is>
          <t>Rules are tried top to bottom; the FIRST one that matches wins. Put the most specific rules first.</t>
        </is>
      </c>
    </row>
    <row r="82" ht="26" customHeight="1" s="17">
      <c r="A82" s="24" t="inlineStr">
        <is>
          <t>Write this</t>
        </is>
      </c>
      <c r="B82" s="25" t="inlineStr">
        <is>
          <t>Meaning</t>
        </is>
      </c>
    </row>
    <row r="83" ht="15" customHeight="1" s="17">
      <c r="A83" s="26" t="inlineStr">
        <is>
          <t>YES</t>
        </is>
      </c>
      <c r="B83" s="23" t="inlineStr">
        <is>
          <t>the answer to THIS question equals YES</t>
        </is>
      </c>
    </row>
    <row r="84" ht="15" customHeight="1" s="17">
      <c r="A84" s="26" t="inlineStr">
        <is>
          <t>*</t>
        </is>
      </c>
      <c r="B84" s="23" t="inlineStr">
        <is>
          <t>default / catch-all. Matches anything. REQUIRED whenever you route on numbers (range).</t>
        </is>
      </c>
    </row>
    <row r="85" ht="15" customHeight="1" s="17">
      <c r="A85" s="26" t="inlineStr">
        <is>
          <t>ANY_YES</t>
        </is>
      </c>
      <c r="B85" s="23" t="inlineStr">
        <is>
          <t>(CHECKLIST only) at least one sub-item is answered Yes</t>
        </is>
      </c>
    </row>
    <row r="86">
      <c r="A86" s="26" t="inlineStr">
        <is>
          <t>ALL_NO</t>
        </is>
      </c>
      <c r="B86" s="23" t="inlineStr">
        <is>
          <t>(CHECKLIST only) no sub-item is answered Yes  (a "Not applicable" item never triggers)</t>
        </is>
      </c>
    </row>
    <row r="87" ht="26" customHeight="1" s="17">
      <c r="A87" s="26" t="inlineStr">
        <is>
          <t>in [A, B, C]</t>
        </is>
      </c>
      <c r="B87" s="23" t="inlineStr">
        <is>
          <t>the answer to THIS question is one of A, B or C</t>
        </is>
      </c>
    </row>
    <row r="88" ht="15" customHeight="1" s="17">
      <c r="A88" s="26" t="inlineStr">
        <is>
          <t>range [4..6]</t>
        </is>
      </c>
      <c r="B88" s="23" t="inlineStr">
        <is>
          <t>THIS question's number is between 4 and 6, inclusive</t>
        </is>
      </c>
    </row>
    <row r="89" ht="44" customHeight="1" s="17">
      <c r="A89" s="26" t="inlineStr">
        <is>
          <t>range [&lt;0 | &gt;6]</t>
        </is>
      </c>
      <c r="B89" s="23" t="inlineStr">
        <is>
          <t>THIS question's number is below 0 OR above 6  ( | means OR )</t>
        </is>
      </c>
    </row>
    <row r="90" ht="64" customHeight="1" s="17">
      <c r="A90" s="26" t="inlineStr">
        <is>
          <t>range [&gt;4]</t>
        </is>
      </c>
      <c r="B90" s="23" t="inlineStr">
        <is>
          <t>above 4.   Also: &gt;=4 , &lt;=6 , &lt;0  ( use .. for a closed band )</t>
        </is>
      </c>
    </row>
    <row r="91" ht="15" customHeight="1" s="17">
      <c r="A91" s="32" t="inlineStr">
        <is>
          <t>Q02 is ANNUAL_REVIEW</t>
        </is>
      </c>
      <c r="B91" s="33" t="inlineStr">
        <is>
          <t>the answer to ANOTHER question equals ANNUAL_REVIEW. Always name that question by its QUESTION KEY (Q02, Q-S3 …), never by a label or a made-up name.</t>
        </is>
      </c>
    </row>
    <row r="92" ht="44" customHeight="1" s="17">
      <c r="A92" s="32" t="inlineStr">
        <is>
          <t>Q02 in [A, B]</t>
        </is>
      </c>
      <c r="B92" s="33" t="inlineStr">
        <is>
          <t>another question's answer is one of A, B</t>
        </is>
      </c>
    </row>
    <row r="93" ht="24" customHeight="1" s="17">
      <c r="A93" s="26" t="inlineStr">
        <is>
          <t>cond1 AND cond2</t>
        </is>
      </c>
      <c r="B93" s="23" t="inlineStr">
        <is>
          <t>BOTH must hold — combine any atoms above (used by the ECB ratio routing)</t>
        </is>
      </c>
    </row>
    <row r="94" ht="48" customHeight="1" s="17">
      <c r="A94" s="32" t="inlineStr">
        <is>
          <t>(a blank question)</t>
        </is>
      </c>
      <c r="B94" s="33" t="inlineStr">
        <is>
          <t>A question the analyst never reached has NO answer, and no condition on it can ever match. This is what lets you list rules for paths that were not taken — they simply stay quiet.</t>
        </is>
      </c>
    </row>
    <row r="95" ht="28" customHeight="1" s="17">
      <c r="A95" s="32" t="inlineStr">
        <is>
          <t>field ecbLeverageRatio
   range [&lt;0 | &gt;6]</t>
        </is>
      </c>
      <c r="B95" s="33" t="inlineStr">
        <is>
          <t>tests a BOX inside a DATA_ENTRY question instead of a whole answer. Field keys are unique across a form, so the question does not need naming.</t>
        </is>
      </c>
    </row>
    <row r="96" ht="15" customHeight="1" s="17">
      <c r="A96" s="32" t="inlineStr">
        <is>
          <t>range [0 .. &lt;4]</t>
        </is>
      </c>
      <c r="B96" s="33" t="inlineStr">
        <is>
          <t>a band open at one end: from 0 up to but not including 4.</t>
        </is>
      </c>
    </row>
    <row r="97" ht="15" customHeight="1" s="17"/>
    <row r="98">
      <c r="A98" s="26" t="inlineStr">
        <is>
          <t>-&gt; Q07</t>
        </is>
      </c>
      <c r="B98" s="23" t="inlineStr">
        <is>
          <t>CONTINUE to question Q07</t>
        </is>
      </c>
    </row>
    <row r="99">
      <c r="A99" s="26" t="inlineStr">
        <is>
          <t>-&gt; END, outcome=ECB</t>
        </is>
      </c>
      <c r="B99" s="23" t="inlineStr">
        <is>
          <t>STOP and set the recommendation (Preliminary form only)</t>
        </is>
      </c>
    </row>
    <row r="100">
      <c r="A100" s="26" t="inlineStr">
        <is>
          <t>-&gt; END, flags: ecbLeveragedFlag=ECB_LEVERAGED</t>
        </is>
      </c>
      <c r="B100" s="23" t="inlineStr">
        <is>
          <t>STOP and set flag(s) (ECB / FED forms). Name ONLY the flags this branch fills; every flag you leave out simply stays empty.</t>
        </is>
      </c>
    </row>
    <row r="102">
      <c r="A102" s="20" t="inlineStr">
        <is>
          <t>8.  WORKED EXAMPLES (copy these patterns)</t>
        </is>
      </c>
    </row>
    <row r="103">
      <c r="A103" s="26" t="inlineStr">
        <is>
          <t>YES -&gt; END, outcome=NOT_REQUIRED
NO  -&gt; Q02</t>
        </is>
      </c>
      <c r="B103" s="23" t="inlineStr">
        <is>
          <t>Yes ends the form; No continues to Q02</t>
        </is>
      </c>
    </row>
    <row r="104">
      <c r="A104" s="26" t="inlineStr">
        <is>
          <t>ANY_YES -&gt; END, flags: ecbLeveragedFlag=ECB_NOT_LEVERAGED
ALL_NO  -&gt; Q_EVENT</t>
        </is>
      </c>
      <c r="B104" s="23" t="inlineStr">
        <is>
          <t>any Yes stops the form and fills the Leveraged Flag; all No continues. The other flags are not named, so they stay empty.</t>
        </is>
      </c>
    </row>
    <row r="105" ht="40" customHeight="1" s="17">
      <c r="A105" s="26" t="inlineStr">
        <is>
          <t>specifyEvent in [ORIGINATION, MATERIAL_MODIFICATION, REFINANCING] AND range [4..6] -&gt; Q_QUAL_A
specifyEvent in [ORIGINATION, MATERIAL_MODIFICATION, REFINANCING] AND range [&lt;0 | &gt;6] -&gt; Q_QUAL_B
specifyEvent is ANNUAL_REVIEW AND range [&gt;4]        -&gt; Q_QUAL_A
specifyEvent is ANNUAL_REVIEW AND range [&lt;0 | &gt;6]   -&gt; Q_QUAL_B
* -&gt; Q_QUAL_A</t>
        </is>
      </c>
      <c r="B105" s="23" t="inlineStr">
        <is>
          <t>Group 1 = Origination/Mat-Mod/Refinancing; Group 2 = Annual review. The final  *  catches any number
that no band covered (e.g. 0–4 for Group 2) — numeric routing ALWAYS needs a default.</t>
        </is>
      </c>
    </row>
    <row r="107" ht="44" customHeight="1" s="17">
      <c r="A107" s="28" t="inlineStr">
        <is>
          <t>9.  THE FIELDS TAB  (boxes inside a DATA_ENTRY question)</t>
        </is>
      </c>
    </row>
    <row r="108" ht="34" customHeight="1" s="17">
      <c r="A108" s="51" t="inlineStr">
        <is>
          <t>A DATA_ENTRY question is one node in the tree that shows a whole table of boxes. Each box is a row on the Fields tab, matched by Question Key. Row order there is screen order.</t>
        </is>
      </c>
      <c r="B108" s="50" t="n"/>
    </row>
    <row r="109" ht="40" customHeight="1" s="17">
      <c r="A109" s="30" t="inlineStr">
        <is>
          <t>Group</t>
        </is>
      </c>
      <c r="B109" s="31" t="inlineStr">
        <is>
          <t>Heading the box sits under.</t>
        </is>
      </c>
    </row>
    <row r="110" ht="40" customHeight="1" s="17">
      <c r="A110" s="32" t="inlineStr">
        <is>
          <t>Field Key</t>
        </is>
      </c>
      <c r="B110" s="33" t="inlineStr">
        <is>
          <t>Stable code stored in the answer. Two boxes may share a label but never a key — IFRS 16 appears under both EBITDA and Gross Debt.</t>
        </is>
      </c>
    </row>
    <row r="111">
      <c r="A111" s="32" t="inlineStr">
        <is>
          <t>Mandatory / Editable</t>
        </is>
      </c>
      <c r="B111" s="33" t="inlineStr">
        <is>
          <t>Editable = No for anything the system calculates.</t>
        </is>
      </c>
    </row>
    <row r="112" ht="52" customHeight="1" s="17">
      <c r="A112" s="32" t="inlineStr">
        <is>
          <t>Derived From</t>
        </is>
      </c>
      <c r="B112" s="33" t="inlineStr">
        <is>
          <t>Same vocabulary as on a question:  FINANCIALS/x  prefills from the financials table (the analyst may still overwrite it),  CALC/x  is calculated in the domain layer. Blank = the analyst types it.</t>
        </is>
      </c>
    </row>
    <row r="113" ht="32" customHeight="1" s="17">
      <c r="A113" s="32" t="inlineStr">
        <is>
          <t>Note EN / FR</t>
        </is>
      </c>
      <c r="B113" s="33" t="inlineStr">
        <is>
          <t>Tooltip text for that box.</t>
        </is>
      </c>
    </row>
    <row r="114" ht="32" customHeight="1" s="17">
      <c r="A114" s="32" t="inlineStr">
        <is>
          <t>Formula</t>
        </is>
      </c>
      <c r="B114" s="33" t="inlineStr">
        <is>
          <t>Documentation only — nothing here is executed.</t>
        </is>
      </c>
    </row>
    <row r="115">
      <c r="A115" s="32" t="inlineStr">
        <is>
          <t>Fills Flag</t>
        </is>
      </c>
      <c r="B115" s="33" t="inlineStr">
        <is>
          <t>The value BECOMES this flag.</t>
        </is>
      </c>
    </row>
    <row r="116" ht="34" customHeight="1" s="17">
      <c r="A116" s="51" t="inlineStr">
        <is>
          <t>There is no Justify? or Validation column. Everything a box is checked for is a row on the Forms tab under Validation Messages, keyed by Field Key — that is also where the wording lives.</t>
        </is>
      </c>
      <c r="B116" s="51" t="n"/>
    </row>
    <row r="117">
      <c r="A117" s="51" t="n"/>
      <c r="B117" s="50" t="n"/>
    </row>
    <row r="118">
      <c r="A118" s="50" t="n"/>
      <c r="B118" s="50" t="n"/>
    </row>
    <row r="123">
      <c r="A123" s="28" t="inlineStr">
        <is>
          <t>10.  CHECKLIST — HOW SAVING WORKS  (automatic; you do not author any of it)</t>
        </is>
      </c>
    </row>
    <row r="124">
      <c r="A124" s="29" t="inlineStr">
        <is>
          <t>The analyst only ever picks Yes or No. "Not applicable" is NOT offered on screen — the system assigns it. On save, these rules are applied in this order:</t>
        </is>
      </c>
    </row>
    <row r="125">
      <c r="A125" s="30" t="inlineStr">
        <is>
          <t>Order</t>
        </is>
      </c>
      <c r="B125" s="31" t="inlineStr">
        <is>
          <t>What happens</t>
        </is>
      </c>
    </row>
    <row r="126">
      <c r="A126" s="30" t="inlineStr">
        <is>
          <t>1.  Any item = Yes</t>
        </is>
      </c>
      <c r="B126" s="31" t="inlineStr">
        <is>
          <t>Every UNANSWERED item is set to "Not applicable". Items already answered keep their value (a No stays No). The block ends — the ANY_YES branch is taken and its flags are set.</t>
        </is>
      </c>
    </row>
    <row r="127">
      <c r="A127" s="30" t="inlineStr">
        <is>
          <t>2.  No Yes, some item blank</t>
        </is>
      </c>
      <c r="B127" s="31" t="inlineStr">
        <is>
          <t>NOTHING is saved. The analyst sees the blocking message "ECB Form - Please answer the mandatory questions."</t>
        </is>
      </c>
    </row>
    <row r="128">
      <c r="A128" s="30" t="inlineStr">
        <is>
          <t>3.  No Yes, every item = No</t>
        </is>
      </c>
      <c r="B128" s="31" t="inlineStr">
        <is>
          <t>Saved exactly as typed. The ALL_NO branch is taken and the form continues.</t>
        </is>
      </c>
    </row>
    <row r="129">
      <c r="A129" s="29" t="inlineStr">
        <is>
          <t>In short: a Yes settles the block, so the remaining items stop being required. ANY_YES = at least one item is Yes. ALL_NO = no item is Yes.</t>
        </is>
      </c>
    </row>
    <row r="130">
      <c r="A130" s="29" t="inlineStr">
        <is>
          <t>Worked example — the Borrower exclusion block, saved with only "Sovereign" answered Yes:</t>
        </is>
      </c>
    </row>
    <row r="131">
      <c r="A131" s="30" t="inlineStr">
        <is>
          <t>Before save</t>
        </is>
      </c>
      <c r="B131" s="31" t="inlineStr">
        <is>
          <t>After save</t>
        </is>
      </c>
    </row>
    <row r="132" ht="30" customHeight="1" s="17">
      <c r="A132" s="32" t="inlineStr">
        <is>
          <t>SME                     —
Sovereign               Yes
Financial sector        —
Investment Grade        —</t>
        </is>
      </c>
      <c r="B132" s="33" t="inlineStr">
        <is>
          <t>SME                     Not applicable
Sovereign               Yes
Financial sector        Not applicable
Investment Grade        Not applicable</t>
        </is>
      </c>
    </row>
    <row r="133">
      <c r="A133" s="29" t="inlineStr">
        <is>
          <t>✗  Do NOT add a "Not applicable" entry to the Items cell, and do NOT write a branch for it.</t>
        </is>
      </c>
    </row>
    <row r="136" ht="30" customHeight="1" s="17"/>
    <row r="137">
      <c r="A137" s="20" t="inlineStr">
        <is>
          <t>11.  OUTCOMES CATALOGUE  (Forms tab, second table)</t>
        </is>
      </c>
    </row>
    <row r="138">
      <c r="A138" s="22" t="inlineStr">
        <is>
          <t>Outcome Code</t>
        </is>
      </c>
      <c r="B138" s="23" t="inlineStr">
        <is>
          <t>NOT_REQUIRED | ECB | ECB_AND_FED</t>
        </is>
      </c>
    </row>
    <row r="139">
      <c r="A139" s="22" t="inlineStr">
        <is>
          <t>Display Value</t>
        </is>
      </c>
      <c r="B139" s="23" t="inlineStr">
        <is>
          <t>the text shown to the analyst</t>
        </is>
      </c>
    </row>
    <row r="140" ht="30" customHeight="1" s="17">
      <c r="A140" s="22" t="inlineStr">
        <is>
          <t>Forms To Show</t>
        </is>
      </c>
      <c r="B140" s="23" t="inlineStr">
        <is>
          <t>which forms open next, e.g.  FED;ECB  (order matters)</t>
        </is>
      </c>
    </row>
    <row r="141">
      <c r="A141" s="22" t="inlineStr">
        <is>
          <t>Forced Flags</t>
        </is>
      </c>
      <c r="B141" s="23" t="inlineStr">
        <is>
          <t>flags forced by this outcome, e.g.  fedLeveragedFlag=INR</t>
        </is>
      </c>
    </row>
    <row r="143">
      <c r="A143" s="28" t="inlineStr">
        <is>
          <t>12.  FLAGS CATALOGUE  (Forms tab, third table)</t>
        </is>
      </c>
    </row>
    <row r="144">
      <c r="A144" s="30" t="inlineStr">
        <is>
          <t>Form</t>
        </is>
      </c>
      <c r="B144" s="31" t="inlineStr">
        <is>
          <t>ECB or FED — which form shows this flag.</t>
        </is>
      </c>
    </row>
    <row r="145">
      <c r="A145" s="32" t="inlineStr">
        <is>
          <t>Flag Key</t>
        </is>
      </c>
      <c r="B145" s="33" t="inlineStr">
        <is>
          <t>The code a branch writes, e.g.  ecbLeveragedFlag . Never rename it once analyses exist.</t>
        </is>
      </c>
    </row>
    <row r="146" ht="40" customHeight="1" s="17">
      <c r="A146" s="32" t="inlineStr">
        <is>
          <t>Display EN / FR</t>
        </is>
      </c>
      <c r="B146" s="33" t="inlineStr">
        <is>
          <t>The label shown beside the flag on screen.</t>
        </is>
      </c>
    </row>
    <row r="147">
      <c r="A147" s="32" t="inlineStr">
        <is>
          <t>Allowed Values</t>
        </is>
      </c>
      <c r="B147" s="33" t="inlineStr">
        <is>
          <t>The only values a branch may assign. Anything else fails the upload.</t>
        </is>
      </c>
    </row>
    <row r="148">
      <c r="A148" s="32" t="inlineStr">
        <is>
          <t>External?</t>
        </is>
      </c>
      <c r="B148" s="33" t="inlineStr">
        <is>
          <t>Yes = filled by the rating engine, not by a branch (the ECB leverage ratio).</t>
        </is>
      </c>
    </row>
    <row r="149">
      <c r="A149" s="29" t="inlineStr">
        <is>
          <t>A flag no branch fills stays empty and is displayed blank — you never author "empty" anywhere.</t>
        </is>
      </c>
    </row>
    <row r="151">
      <c r="A151" s="28" t="inlineStr">
        <is>
          <t>13.  FLAG VALUES  (its own tab)</t>
        </is>
      </c>
    </row>
    <row r="152" ht="24" customHeight="1" s="17">
      <c r="A152" s="29" t="inlineStr">
        <is>
          <t>A flag marked CODE on the Forms tab is stored as a number. This tab is the dictionary.</t>
        </is>
      </c>
    </row>
    <row r="153" ht="40" customHeight="1" s="17">
      <c r="A153" s="30" t="inlineStr">
        <is>
          <t>Value Set</t>
        </is>
      </c>
      <c r="B153" s="31" t="inlineStr">
        <is>
          <t>Groups the codes. The ECB and FED Leveraged Flags share ONE set, so a value written by one form is readable by the other.</t>
        </is>
      </c>
    </row>
    <row r="154">
      <c r="A154" s="32" t="inlineStr">
        <is>
          <t>Code / Stored Value</t>
        </is>
      </c>
      <c r="B154" s="33" t="inlineStr">
        <is>
          <t>The name used in the sheet, and the number in the database.</t>
        </is>
      </c>
    </row>
    <row r="155">
      <c r="A155" s="32" t="inlineStr">
        <is>
          <t>Display EN / FR</t>
        </is>
      </c>
      <c r="B155" s="33" t="inlineStr">
        <is>
          <t>How a stored number is shown, e.g. inside an Info Panel.</t>
        </is>
      </c>
    </row>
    <row r="156" ht="32" customHeight="1" s="17">
      <c r="A156" s="32" t="inlineStr">
        <is>
          <t>Set By</t>
        </is>
      </c>
      <c r="B156" s="33" t="inlineStr">
        <is>
          <t>Which form may write it. The upload refuses an ECB branch that sets a FED-only value.</t>
        </is>
      </c>
    </row>
    <row r="157" ht="22" customHeight="1" s="17">
      <c r="A157" s="29" t="inlineStr">
        <is>
          <t>Flags marked BOOLEAN or NUMBER do not appear here.</t>
        </is>
      </c>
    </row>
    <row r="159">
      <c r="A159" s="28" t="inlineStr">
        <is>
          <t>14.  VALIDATION MESSAGES  (Forms tab, fourth table)</t>
        </is>
      </c>
    </row>
    <row r="160">
      <c r="A160" s="29" t="inlineStr">
        <is>
          <t>When a save is refused, the analyst sees a message. The CODE decides when a message fires; this table owns only the WORDING, so you can reword any of them without a developer.</t>
        </is>
      </c>
    </row>
    <row r="161">
      <c r="A161" s="32" t="inlineStr">
        <is>
          <t>Form</t>
        </is>
      </c>
      <c r="B161" s="33" t="inlineStr">
        <is>
          <t>Which form the message belongs to.</t>
        </is>
      </c>
    </row>
    <row r="162">
      <c r="A162" s="32" t="inlineStr">
        <is>
          <t>Question Key</t>
        </is>
      </c>
      <c r="B162" s="33" t="inlineStr">
        <is>
          <t>The question that raises it. Leave blank for a form-wide message such as the checklist one.</t>
        </is>
      </c>
    </row>
    <row r="163" ht="28" customHeight="1" s="17">
      <c r="A163" s="32" t="inlineStr">
        <is>
          <t>Field Key</t>
        </is>
      </c>
      <c r="B163" s="33" t="inlineStr">
        <is>
          <t>For a box inside a DATA_ENTRY question. Blank = the whole question.</t>
        </is>
      </c>
    </row>
    <row r="164" ht="52" customHeight="1" s="17">
      <c r="A164" s="32" t="inlineStr">
        <is>
          <t>Rule</t>
        </is>
      </c>
      <c r="B164" s="33" t="inlineStr">
        <is>
          <t>Which check the application runs: MANDATORY, JUSTIFICATION_REQUIRED, MUST_BE_POSITIVE, SOURCE_EMPTY, NOT_SELF, PARENT_ENTITY_ELIGIBLE, PARENT_NAME_DIFFERS. Adding the row IS switching the check on.</t>
        </is>
      </c>
    </row>
    <row r="165">
      <c r="A165" s="30" t="inlineStr">
        <is>
          <t>Message Key</t>
        </is>
      </c>
      <c r="B165" s="31" t="inlineStr">
        <is>
          <t>The code the application quotes. Do not rename it.</t>
        </is>
      </c>
    </row>
    <row r="166">
      <c r="A166" s="32" t="inlineStr">
        <is>
          <t>Severity</t>
        </is>
      </c>
      <c r="B166" s="33" t="inlineStr">
        <is>
          <t>ERROR blocks the save. INFO is shown and the save goes through.</t>
        </is>
      </c>
    </row>
    <row r="167">
      <c r="A167" s="32" t="inlineStr">
        <is>
          <t>Text EN / FR</t>
        </is>
      </c>
      <c r="B167" s="33" t="inlineStr">
        <is>
          <t>What the analyst reads.</t>
        </is>
      </c>
    </row>
    <row r="168">
      <c r="A168" s="29" t="inlineStr">
        <is>
          <t>The checks behind Q-S06 (must share the Business Group, must not be the counterparty under analysis, must not be empty) live in code. This table says what the analyst reads and which question owns it.</t>
        </is>
      </c>
    </row>
    <row r="171">
      <c r="A171" s="28" t="inlineStr">
        <is>
          <t>15.  INFO PANELS  (Forms tab, fifth table)</t>
        </is>
      </c>
    </row>
    <row r="172">
      <c r="A172" s="29" t="inlineStr">
        <is>
          <t>Some flag values come with extra information the analyst must see. When the Leveraged Flag is set to INR, the counterparty's CURRENT leverage data is pulled from RMPM and displayed read-only.</t>
        </is>
      </c>
    </row>
    <row r="173">
      <c r="A173" s="30" t="inlineStr">
        <is>
          <t>Panel Key</t>
        </is>
      </c>
      <c r="B173" s="31" t="inlineStr">
        <is>
          <t>The code the application quotes.</t>
        </is>
      </c>
    </row>
    <row r="174">
      <c r="A174" s="32" t="inlineStr">
        <is>
          <t>Title EN / FR</t>
        </is>
      </c>
      <c r="B174" s="33" t="inlineStr">
        <is>
          <t>The heading shown above the block.</t>
        </is>
      </c>
    </row>
    <row r="175">
      <c r="A175" s="32" t="inlineStr">
        <is>
          <t>Source</t>
        </is>
      </c>
      <c r="B175" s="33" t="inlineStr">
        <is>
          <t>A logical name for where the data comes from — the same style as Derived From (RATING_MOTOR/…, COUNTERPARTY/…). It is NOT a table or a class name; the application decides how to fetch it.</t>
        </is>
      </c>
    </row>
    <row r="176">
      <c r="A176" s="32" t="inlineStr">
        <is>
          <t>Fields</t>
        </is>
      </c>
      <c r="B176" s="33" t="inlineStr">
        <is>
          <t>The business names of the values to display, separated by  ;  . Not database columns.</t>
        </is>
      </c>
    </row>
    <row r="177">
      <c r="A177" s="32" t="inlineStr">
        <is>
          <t>Shown When</t>
        </is>
      </c>
      <c r="B177" s="33" t="inlineStr">
        <is>
          <t>A single test of the form  flagKey is VALUE , e.g.  ecbLeveragedFlag is INR .</t>
        </is>
      </c>
    </row>
    <row r="178">
      <c r="A178" s="29" t="inlineStr">
        <is>
          <t>Write the rule ONCE here. Every branch that sets that flag to that value shows the panel — Q-T1, Q-C1 and Q-T13 all set INR, and none of them mentions the panel. A panel is context, not an answer: it is never routed on and never edited.</t>
        </is>
      </c>
    </row>
    <row r="180">
      <c r="A180" s="20" t="inlineStr">
        <is>
          <t>16.  HOW TO MAKE COMMON CHANGES</t>
        </is>
      </c>
    </row>
    <row r="181">
      <c r="A181" s="22" t="inlineStr">
        <is>
          <t>Reword a question</t>
        </is>
      </c>
      <c r="B181" s="23" t="inlineStr">
        <is>
          <t>Edit Label EN / Label FR. Nothing else. Upload.</t>
        </is>
      </c>
    </row>
    <row r="182">
      <c r="A182" s="22" t="inlineStr">
        <is>
          <t>Change a threshold</t>
        </is>
      </c>
      <c r="B182" s="23" t="inlineStr">
        <is>
          <t>Edit the number inside range [...] in the relevant Branches cell. Upload.</t>
        </is>
      </c>
    </row>
    <row r="183">
      <c r="A183" s="22" t="inlineStr">
        <is>
          <t>Re-route a Yes</t>
        </is>
      </c>
      <c r="B183" s="23" t="inlineStr">
        <is>
          <t>Change the TARGET after  -&gt; . Point it at a different Question Key or END. Upload.</t>
        </is>
      </c>
    </row>
    <row r="184">
      <c r="A184" s="22" t="inlineStr">
        <is>
          <t>Insert a question</t>
        </is>
      </c>
      <c r="B184" s="23" t="inlineStr">
        <is>
          <t>Add a row with a NEW key and point an existing branch's TARGET at it. Where it appears on screen follows the routing, not the row position.</t>
        </is>
      </c>
    </row>
    <row r="185">
      <c r="A185" s="22" t="inlineStr">
        <is>
          <t>Remove a question</t>
        </is>
      </c>
      <c r="B185" s="23" t="inlineStr">
        <is>
          <t>Delete its row AND fix every branch that pointed to it (the upload will flag any you miss).</t>
        </is>
      </c>
    </row>
    <row r="186">
      <c r="A186" s="16" t="n"/>
    </row>
    <row r="187">
      <c r="A187" s="20" t="inlineStr">
        <is>
          <t>17.  WHAT THE UPLOAD CHECKS  (so you understand the error messages)</t>
        </is>
      </c>
    </row>
    <row r="188" ht="76" customHeight="1" s="17">
      <c r="A188" s="21" t="inlineStr">
        <is>
          <t>• Both EN and FR labels are present. No loops in the routing. Every flag named in a branch or in Fills Flag exists in the Flags catalogue; if it is CODE, the value exists in its Value Set and that form is allowed to set it. Every question named in a condition exists as a Question Key, every field named in a condition or in a Validation Messages row exists on the Fields tab, and every DATA_ENTRY question has at least one field. No row fills both Derived From and Value Rules.</t>
        </is>
      </c>
    </row>
    <row r="189" s="17">
      <c r="A189" s="20" t="inlineStr">
        <is>
          <t>18.  COMMON MISTAKES</t>
        </is>
      </c>
    </row>
    <row r="190">
      <c r="A190" s="21" t="inlineStr">
        <is>
          <t>✗  Renaming a Question Key that older analyses already used.</t>
        </is>
      </c>
    </row>
    <row r="193">
      <c r="A193" s="16" t="n"/>
    </row>
    <row r="195">
      <c r="A195" s="1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5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6" min="1" max="2"/>
    <col width="15" customWidth="1" style="17" min="2" max="2"/>
    <col width="24" customWidth="1" style="16" min="3" max="3"/>
    <col width="24" customWidth="1" style="16" min="4" max="4"/>
    <col width="34" customWidth="1" style="16" min="5" max="5"/>
    <col width="12" customWidth="1" style="16" min="6" max="6"/>
    <col width="52" customWidth="1" style="17" min="7" max="7"/>
    <col width="30" customWidth="1" style="17" min="8" max="8"/>
  </cols>
  <sheetData>
    <row r="1" ht="18.55" customHeight="1" s="17">
      <c r="A1" s="18" t="inlineStr">
        <is>
          <t>Forms — Metadata, Outcomes, Flags, Messages &amp; Panels</t>
        </is>
      </c>
    </row>
    <row r="3" ht="15" customHeight="1" s="17">
      <c r="A3" s="34" t="inlineStr">
        <is>
          <t>FORM METADATA</t>
        </is>
      </c>
      <c r="B3" s="35" t="n"/>
      <c r="C3" s="35" t="n"/>
      <c r="D3" s="35" t="n"/>
      <c r="E3" s="35" t="n"/>
      <c r="F3" s="35" t="n"/>
    </row>
    <row r="4" ht="15" customHeight="1" s="17">
      <c r="A4" s="36" t="inlineStr">
        <is>
          <t>Form Type</t>
        </is>
      </c>
      <c r="B4" s="36" t="inlineStr">
        <is>
          <t>Default Locale</t>
        </is>
      </c>
      <c r="C4" s="36" t="inlineStr">
        <is>
          <t>Locales</t>
        </is>
      </c>
      <c r="D4" s="36" t="inlineStr">
        <is>
          <t>Entry Question</t>
        </is>
      </c>
    </row>
    <row r="5" ht="15" customHeight="1" s="17">
      <c r="A5" s="37" t="inlineStr">
        <is>
          <t>PRELIMINARY</t>
        </is>
      </c>
      <c r="B5" s="37" t="inlineStr">
        <is>
          <t>EN</t>
        </is>
      </c>
      <c r="C5" s="37" t="inlineStr">
        <is>
          <t>EN;FR</t>
        </is>
      </c>
      <c r="D5" s="37" t="inlineStr">
        <is>
          <t>Q01</t>
        </is>
      </c>
    </row>
    <row r="6" ht="15" customHeight="1" s="17">
      <c r="A6" s="37" t="inlineStr">
        <is>
          <t>ECB</t>
        </is>
      </c>
      <c r="B6" s="37" t="inlineStr">
        <is>
          <t>EN</t>
        </is>
      </c>
      <c r="C6" s="37" t="inlineStr">
        <is>
          <t>EN;FR</t>
        </is>
      </c>
      <c r="D6" s="37" t="inlineStr">
        <is>
          <t>Q01</t>
        </is>
      </c>
    </row>
    <row r="7" ht="15" customHeight="1" s="17">
      <c r="A7" s="37" t="inlineStr">
        <is>
          <t>FED</t>
        </is>
      </c>
      <c r="B7" s="37" t="inlineStr">
        <is>
          <t>EN</t>
        </is>
      </c>
      <c r="C7" s="37" t="inlineStr">
        <is>
          <t>EN;FR</t>
        </is>
      </c>
      <c r="D7" s="37" t="inlineStr">
        <is>
          <t>Q01</t>
        </is>
      </c>
    </row>
    <row r="9" ht="15" customHeight="1" s="17">
      <c r="A9" s="34" t="inlineStr">
        <is>
          <t>OUTCOMES  (Preliminary only — what each recommendation triggers)</t>
        </is>
      </c>
      <c r="B9" s="35" t="n"/>
      <c r="C9" s="35" t="n"/>
      <c r="D9" s="35" t="n"/>
      <c r="E9" s="35" t="n"/>
      <c r="F9" s="35" t="n"/>
    </row>
    <row r="10" ht="15" customHeight="1" s="17">
      <c r="A10" s="36" t="inlineStr">
        <is>
          <t>Outcome Code</t>
        </is>
      </c>
      <c r="B10" s="36" t="inlineStr">
        <is>
          <t>Display Value</t>
        </is>
      </c>
      <c r="C10" s="36" t="inlineStr">
        <is>
          <t>Forms To Show</t>
        </is>
      </c>
      <c r="D10" s="36" t="inlineStr">
        <is>
          <t>Forced Flags</t>
        </is>
      </c>
    </row>
    <row r="11" ht="15" customHeight="1" s="17">
      <c r="A11" s="37" t="inlineStr">
        <is>
          <t>NOT_REQUIRED</t>
        </is>
      </c>
      <c r="B11" s="37" t="inlineStr">
        <is>
          <t>Not applicable</t>
        </is>
      </c>
      <c r="C11" s="37" t="n"/>
      <c r="D11" s="37" t="n"/>
    </row>
    <row r="12" ht="15" customHeight="1" s="17">
      <c r="A12" s="37" t="inlineStr">
        <is>
          <t>ECB</t>
        </is>
      </c>
      <c r="B12" s="37" t="inlineStr">
        <is>
          <t>ECB</t>
        </is>
      </c>
      <c r="C12" s="37" t="inlineStr">
        <is>
          <t>ECB</t>
        </is>
      </c>
      <c r="D12" s="37" t="inlineStr">
        <is>
          <t>fedLeveragedFlag=INR</t>
        </is>
      </c>
    </row>
    <row r="13" ht="15" customHeight="1" s="17">
      <c r="A13" s="37" t="inlineStr">
        <is>
          <t>ECB_AND_FED</t>
        </is>
      </c>
      <c r="B13" s="37" t="inlineStr">
        <is>
          <t>ECB and FED</t>
        </is>
      </c>
      <c r="C13" s="37" t="inlineStr">
        <is>
          <t>FED;ECB</t>
        </is>
      </c>
      <c r="D13" s="37" t="n"/>
    </row>
    <row r="15" s="17">
      <c r="A15" s="47" t="inlineStr">
        <is>
          <t>FLAGS CATALOGUE  (every output flag a form can show)</t>
        </is>
      </c>
      <c r="B15" s="48" t="n"/>
      <c r="C15" s="48" t="n"/>
      <c r="D15" s="48" t="n"/>
      <c r="E15" s="48" t="n"/>
      <c r="F15" s="48" t="n"/>
      <c r="G15" s="48" t="n"/>
      <c r="H15" s="48" t="n"/>
    </row>
    <row r="16" s="17">
      <c r="A16" s="40" t="inlineStr">
        <is>
          <t>Form</t>
        </is>
      </c>
      <c r="B16" s="40" t="inlineStr">
        <is>
          <t>Flag Key</t>
        </is>
      </c>
      <c r="C16" s="40" t="inlineStr">
        <is>
          <t>Display EN</t>
        </is>
      </c>
      <c r="D16" s="40" t="inlineStr">
        <is>
          <t>Display FR</t>
        </is>
      </c>
      <c r="E16" s="40" t="inlineStr">
        <is>
          <t>Stored As</t>
        </is>
      </c>
      <c r="F16" s="40" t="inlineStr">
        <is>
          <t>Value Set</t>
        </is>
      </c>
      <c r="G16" s="40" t="inlineStr"/>
      <c r="H16" s="40" t="inlineStr"/>
    </row>
    <row r="17" ht="32" customHeight="1" s="17">
      <c r="A17" s="33" t="inlineStr">
        <is>
          <t>ECB</t>
        </is>
      </c>
      <c r="B17" s="33" t="inlineStr">
        <is>
          <t>ecbLeveragedFlag</t>
        </is>
      </c>
      <c r="C17" s="33" t="inlineStr">
        <is>
          <t>Leveraged Flag</t>
        </is>
      </c>
      <c r="D17" s="33" t="inlineStr">
        <is>
          <t>Flag Leveraged</t>
        </is>
      </c>
      <c r="E17" s="33" t="inlineStr">
        <is>
          <t>CODE</t>
        </is>
      </c>
      <c r="F17" s="33" t="inlineStr">
        <is>
          <t>LEVERAGED_FLAG</t>
        </is>
      </c>
      <c r="G17" s="33" t="n"/>
      <c r="H17" s="33" t="n"/>
    </row>
    <row r="18" ht="32" customHeight="1" s="17">
      <c r="A18" s="33" t="inlineStr">
        <is>
          <t>ECB</t>
        </is>
      </c>
      <c r="B18" s="33" t="inlineStr">
        <is>
          <t>ecbCovenantStructure</t>
        </is>
      </c>
      <c r="C18" s="33" t="inlineStr">
        <is>
          <t>Covenant Structure</t>
        </is>
      </c>
      <c r="D18" s="33" t="inlineStr">
        <is>
          <t>Structure des covenants</t>
        </is>
      </c>
      <c r="E18" s="33" t="inlineStr">
        <is>
          <t>CODE</t>
        </is>
      </c>
      <c r="F18" s="33" t="inlineStr">
        <is>
          <t>COVENANT_STRUCTURE</t>
        </is>
      </c>
      <c r="G18" s="33" t="n"/>
      <c r="H18" s="33" t="n"/>
    </row>
    <row r="19" ht="32" customHeight="1" s="17">
      <c r="A19" s="33" t="inlineStr">
        <is>
          <t>ECB</t>
        </is>
      </c>
      <c r="B19" s="33" t="inlineStr">
        <is>
          <t>ecbLeverageRatio</t>
        </is>
      </c>
      <c r="C19" s="33" t="inlineStr">
        <is>
          <t>ECB Leverage Ratio</t>
        </is>
      </c>
      <c r="D19" s="33" t="inlineStr">
        <is>
          <t>Ratio de levier BCE</t>
        </is>
      </c>
      <c r="E19" s="33" t="inlineStr">
        <is>
          <t>NUMBER</t>
        </is>
      </c>
      <c r="F19" s="33" t="n"/>
      <c r="G19" s="33" t="n"/>
      <c r="H19" s="33" t="n"/>
    </row>
    <row r="20" ht="32" customHeight="1" s="17">
      <c r="A20" s="33" t="inlineStr">
        <is>
          <t>ECB</t>
        </is>
      </c>
      <c r="B20" s="33" t="inlineStr">
        <is>
          <t>escalatedTransactions</t>
        </is>
      </c>
      <c r="C20" s="33" t="inlineStr">
        <is>
          <t>Escalated Transactions</t>
        </is>
      </c>
      <c r="D20" s="33" t="inlineStr">
        <is>
          <t>Transactions escaladées</t>
        </is>
      </c>
      <c r="E20" s="33" t="inlineStr">
        <is>
          <t>BOOLEAN</t>
        </is>
      </c>
      <c r="F20" s="33" t="n"/>
      <c r="G20" s="33" t="n"/>
      <c r="H20" s="33" t="n"/>
    </row>
    <row r="21" ht="32" customHeight="1" s="17">
      <c r="A21" s="33" t="inlineStr">
        <is>
          <t>ECB</t>
        </is>
      </c>
      <c r="B21" s="33" t="inlineStr">
        <is>
          <t>ecbLboFlag</t>
        </is>
      </c>
      <c r="C21" s="33" t="inlineStr">
        <is>
          <t>LBO Flag</t>
        </is>
      </c>
      <c r="D21" s="33" t="inlineStr">
        <is>
          <t>Flag LBO</t>
        </is>
      </c>
      <c r="E21" s="33" t="inlineStr">
        <is>
          <t>BOOLEAN</t>
        </is>
      </c>
      <c r="F21" s="33" t="n"/>
      <c r="G21" s="33" t="n"/>
      <c r="H21" s="33" t="n"/>
    </row>
    <row r="22" ht="32" customHeight="1" s="17">
      <c r="A22" s="33" t="inlineStr">
        <is>
          <t>FED</t>
        </is>
      </c>
      <c r="B22" s="33" t="inlineStr">
        <is>
          <t>fedLeveragedFlag</t>
        </is>
      </c>
      <c r="C22" s="33" t="inlineStr">
        <is>
          <t>FED Leveraged Flag</t>
        </is>
      </c>
      <c r="D22" s="33" t="inlineStr">
        <is>
          <t>Flag Leveraged FED</t>
        </is>
      </c>
      <c r="E22" s="33" t="inlineStr">
        <is>
          <t>CODE</t>
        </is>
      </c>
      <c r="F22" s="33" t="inlineStr">
        <is>
          <t>LEVERAGED_FLAG</t>
        </is>
      </c>
      <c r="G22" s="33" t="n"/>
      <c r="H22" s="33" t="n"/>
    </row>
    <row r="23" ht="44" customHeight="1" s="17">
      <c r="A23" s="49" t="inlineStr">
        <is>
          <t>Every flag listed here is ALWAYS shown on its form. A flag stays EMPTY until some branch fills it — that is all "remains empty" means; never write  key=  with nothing after it. CODE means the database stores a number: see the Flag Values tab. Note the two Leveraged Flags share ONE value set.</t>
        </is>
      </c>
      <c r="B23" s="50" t="n"/>
      <c r="C23" s="50" t="n"/>
      <c r="D23" s="50" t="n"/>
      <c r="E23" s="50" t="n"/>
      <c r="F23" s="50" t="n"/>
      <c r="G23" s="50" t="n"/>
      <c r="H23" s="50" t="n"/>
    </row>
    <row r="24" s="17">
      <c r="A24" s="50" t="n"/>
      <c r="B24" s="50" t="n"/>
      <c r="C24" s="50" t="n"/>
      <c r="D24" s="50" t="n"/>
      <c r="E24" s="50" t="n"/>
      <c r="F24" s="50" t="n"/>
      <c r="G24" s="50" t="n"/>
      <c r="H24" s="50" t="n"/>
    </row>
    <row r="25" s="17">
      <c r="A25" s="47" t="inlineStr">
        <is>
          <t>VALIDATION MESSAGES  (what the analyst reads when a save is refused — the checks live in code)</t>
        </is>
      </c>
      <c r="B25" s="48" t="n"/>
      <c r="C25" s="48" t="n"/>
      <c r="D25" s="48" t="n"/>
      <c r="E25" s="48" t="n"/>
      <c r="F25" s="48" t="n"/>
      <c r="G25" s="48" t="n"/>
      <c r="H25" s="48" t="n"/>
    </row>
    <row r="26" s="17">
      <c r="A26" s="40" t="inlineStr">
        <is>
          <t>Form</t>
        </is>
      </c>
      <c r="B26" s="40" t="inlineStr">
        <is>
          <t>Question Key</t>
        </is>
      </c>
      <c r="C26" s="40" t="inlineStr">
        <is>
          <t>Field Key</t>
        </is>
      </c>
      <c r="D26" s="40" t="inlineStr">
        <is>
          <t>Rule</t>
        </is>
      </c>
      <c r="E26" s="40" t="inlineStr">
        <is>
          <t>Message Key</t>
        </is>
      </c>
      <c r="F26" s="40" t="inlineStr">
        <is>
          <t>Severity</t>
        </is>
      </c>
      <c r="G26" s="40" t="inlineStr">
        <is>
          <t>Text EN</t>
        </is>
      </c>
      <c r="H26" s="40" t="inlineStr">
        <is>
          <t>Text FR</t>
        </is>
      </c>
    </row>
    <row r="27" ht="30" customHeight="1" s="17">
      <c r="A27" s="33" t="inlineStr">
        <is>
          <t>ECB</t>
        </is>
      </c>
      <c r="B27" s="33" t="n"/>
      <c r="C27" s="33" t="n"/>
      <c r="D27" s="33" t="inlineStr">
        <is>
          <t>MANDATORY</t>
        </is>
      </c>
      <c r="E27" s="33" t="inlineStr">
        <is>
          <t>ECB_CHECKLIST_MANDATORY</t>
        </is>
      </c>
      <c r="F27" s="33" t="inlineStr">
        <is>
          <t>ERROR</t>
        </is>
      </c>
      <c r="G27" s="33" t="inlineStr">
        <is>
          <t>ECB Form - Please answer the mandatory questions.</t>
        </is>
      </c>
      <c r="H27" s="33" t="inlineStr">
        <is>
          <t>(à fournir)</t>
        </is>
      </c>
    </row>
    <row r="28" ht="30" customHeight="1" s="17">
      <c r="A28" s="33" t="inlineStr">
        <is>
          <t>ECB</t>
        </is>
      </c>
      <c r="B28" s="33" t="inlineStr">
        <is>
          <t>Q-S06</t>
        </is>
      </c>
      <c r="C28" s="33" t="n"/>
      <c r="D28" s="33" t="inlineStr">
        <is>
          <t>NOT_SELF</t>
        </is>
      </c>
      <c r="E28" s="33" t="inlineStr">
        <is>
          <t>ECB_ENTITY_SAME_AS_ANALYSED</t>
        </is>
      </c>
      <c r="F28" s="33" t="inlineStr">
        <is>
          <t>ERROR</t>
        </is>
      </c>
      <c r="G28" s="33" t="inlineStr">
        <is>
          <t>The selected company cannot be the same as the one currently under the leverage analysis. Please select a different one</t>
        </is>
      </c>
      <c r="H28" s="33" t="inlineStr">
        <is>
          <t>(à fournir)</t>
        </is>
      </c>
    </row>
    <row r="29" ht="30" customHeight="1" s="17">
      <c r="A29" s="33" t="inlineStr">
        <is>
          <t>ECB</t>
        </is>
      </c>
      <c r="B29" s="33" t="inlineStr">
        <is>
          <t>Q-S06</t>
        </is>
      </c>
      <c r="C29" s="33" t="n"/>
      <c r="D29" s="33" t="inlineStr">
        <is>
          <t>PARENT_ENTITY_ELIGIBLE</t>
        </is>
      </c>
      <c r="E29" s="33" t="inlineStr">
        <is>
          <t>ECB_ENTITY_NOT_IN_BUSINESS_GROUP</t>
        </is>
      </c>
      <c r="F29" s="33" t="inlineStr">
        <is>
          <t>ERROR</t>
        </is>
      </c>
      <c r="G29" s="33" t="inlineStr">
        <is>
          <t>Please select a company belonging to the same Business Group of the subsidiary or contact RMPM team to add this counterparty to the Business Group</t>
        </is>
      </c>
      <c r="H29" s="33" t="inlineStr">
        <is>
          <t>(à fournir)</t>
        </is>
      </c>
    </row>
    <row r="30" ht="30" customHeight="1" s="17">
      <c r="A30" s="33" t="inlineStr">
        <is>
          <t>ECB</t>
        </is>
      </c>
      <c r="B30" s="33" t="inlineStr">
        <is>
          <t>Q-S06</t>
        </is>
      </c>
      <c r="C30" s="33" t="n"/>
      <c r="D30" s="33" t="inlineStr">
        <is>
          <t>PARENT_NAME_DIFFERS</t>
        </is>
      </c>
      <c r="E30" s="33" t="inlineStr">
        <is>
          <t>ECB_PARENT_COMPANY_CHANGED</t>
        </is>
      </c>
      <c r="F30" s="33" t="inlineStr">
        <is>
          <t>INFO</t>
        </is>
      </c>
      <c r="G30" s="33" t="inlineStr">
        <is>
          <t>Information: changing the parent company's name must be exceptional and related to specific cases. If the parent company in RMPM is not accurate, please proceed to the modifications required in RMPM</t>
        </is>
      </c>
      <c r="H30" s="33" t="inlineStr">
        <is>
          <t>(à fournir)</t>
        </is>
      </c>
    </row>
    <row r="31" ht="30" customHeight="1" s="17">
      <c r="A31" s="33" t="inlineStr">
        <is>
          <t>ECB</t>
        </is>
      </c>
      <c r="B31" s="33" t="inlineStr">
        <is>
          <t>Q-F01</t>
        </is>
      </c>
      <c r="C31" s="33" t="inlineStr">
        <is>
          <t>ebitda</t>
        </is>
      </c>
      <c r="D31" s="33" t="inlineStr">
        <is>
          <t>SOURCE_EMPTY</t>
        </is>
      </c>
      <c r="E31" s="33" t="inlineStr">
        <is>
          <t>ECB_EBITDA_EMPTY</t>
        </is>
      </c>
      <c r="F31" s="33" t="inlineStr">
        <is>
          <t>ERROR</t>
        </is>
      </c>
      <c r="G31" s="33" t="inlineStr">
        <is>
          <t>The EBITDA amount is empty, please insert its value.  ⚠ wording truncated in the BA page</t>
        </is>
      </c>
      <c r="H31" s="33" t="inlineStr">
        <is>
          <t>(à fournir)</t>
        </is>
      </c>
    </row>
    <row r="32" ht="30" customHeight="1" s="17">
      <c r="A32" s="33" t="inlineStr">
        <is>
          <t>ECB</t>
        </is>
      </c>
      <c r="B32" s="33" t="inlineStr">
        <is>
          <t>Q-F01</t>
        </is>
      </c>
      <c r="C32" s="33" t="inlineStr">
        <is>
          <t>grossDebt</t>
        </is>
      </c>
      <c r="D32" s="33" t="inlineStr">
        <is>
          <t>SOURCE_EMPTY</t>
        </is>
      </c>
      <c r="E32" s="33" t="inlineStr">
        <is>
          <t>ECB_GROSS_DEBT_EMPTY</t>
        </is>
      </c>
      <c r="F32" s="33" t="inlineStr">
        <is>
          <t>ERROR</t>
        </is>
      </c>
      <c r="G32" s="33" t="inlineStr">
        <is>
          <t>The Gross Debt amount is empty, please insert its value.</t>
        </is>
      </c>
      <c r="H32" s="33" t="inlineStr">
        <is>
          <t>(à fournir)</t>
        </is>
      </c>
    </row>
    <row r="33" ht="30" customHeight="1" s="17">
      <c r="A33" s="33" t="inlineStr">
        <is>
          <t>ECB</t>
        </is>
      </c>
      <c r="B33" s="33" t="inlineStr">
        <is>
          <t>Q-F01</t>
        </is>
      </c>
      <c r="C33" s="33" t="inlineStr">
        <is>
          <t>reportedLtmAdjustment</t>
        </is>
      </c>
      <c r="D33" s="33" t="inlineStr">
        <is>
          <t>JUSTIFICATION_REQUIRED</t>
        </is>
      </c>
      <c r="E33" s="33" t="inlineStr">
        <is>
          <t>ECB_JUSTIF_REPORTED_LTM</t>
        </is>
      </c>
      <c r="F33" s="33" t="inlineStr">
        <is>
          <t>ERROR</t>
        </is>
      </c>
      <c r="G33" s="33" t="inlineStr">
        <is>
          <t>A justification related to the Reported LTM adjustment is mandatory</t>
        </is>
      </c>
      <c r="H33" s="33" t="inlineStr">
        <is>
          <t>(à fournir)</t>
        </is>
      </c>
    </row>
    <row r="34" ht="30" customHeight="1" s="17">
      <c r="A34" s="33" t="inlineStr">
        <is>
          <t>ECB</t>
        </is>
      </c>
      <c r="B34" s="33" t="inlineStr">
        <is>
          <t>Q-F01</t>
        </is>
      </c>
      <c r="C34" s="33" t="inlineStr">
        <is>
          <t>proFormaPerimeterAdjustment</t>
        </is>
      </c>
      <c r="D34" s="33" t="inlineStr">
        <is>
          <t>JUSTIFICATION_REQUIRED</t>
        </is>
      </c>
      <c r="E34" s="33" t="inlineStr">
        <is>
          <t>ECB_JUSTIF_PRO_FORMA</t>
        </is>
      </c>
      <c r="F34" s="33" t="inlineStr">
        <is>
          <t>ERROR</t>
        </is>
      </c>
      <c r="G34" s="33" t="inlineStr">
        <is>
          <t>A justification related to the Pro-forma perimeter adjustment is mandatory</t>
        </is>
      </c>
      <c r="H34" s="33" t="inlineStr">
        <is>
          <t>(à fournir)</t>
        </is>
      </c>
    </row>
    <row r="35" ht="30" customHeight="1" s="17">
      <c r="A35" s="33" t="inlineStr">
        <is>
          <t>ECB</t>
        </is>
      </c>
      <c r="B35" s="33" t="inlineStr">
        <is>
          <t>Q-F01</t>
        </is>
      </c>
      <c r="C35" s="33" t="inlineStr">
        <is>
          <t>ifrs16AdjustmentEbitda</t>
        </is>
      </c>
      <c r="D35" s="33" t="inlineStr">
        <is>
          <t>JUSTIFICATION_REQUIRED</t>
        </is>
      </c>
      <c r="E35" s="33" t="inlineStr">
        <is>
          <t>ECB_JUSTIF_IFRS16_EBITDA</t>
        </is>
      </c>
      <c r="F35" s="33" t="inlineStr">
        <is>
          <t>ERROR</t>
        </is>
      </c>
      <c r="G35" s="33" t="inlineStr">
        <is>
          <t>A justification related to the IFRS 16 adjustment is mandatory</t>
        </is>
      </c>
      <c r="H35" s="33" t="inlineStr">
        <is>
          <t>(à fournir)</t>
        </is>
      </c>
    </row>
    <row r="36" ht="30" customHeight="1" s="17">
      <c r="A36" s="33" t="inlineStr">
        <is>
          <t>ECB</t>
        </is>
      </c>
      <c r="B36" s="33" t="inlineStr">
        <is>
          <t>Q-F01</t>
        </is>
      </c>
      <c r="C36" s="33" t="inlineStr">
        <is>
          <t>forwardLookingAdjustment</t>
        </is>
      </c>
      <c r="D36" s="33" t="inlineStr">
        <is>
          <t>JUSTIFICATION_REQUIRED</t>
        </is>
      </c>
      <c r="E36" s="33" t="inlineStr">
        <is>
          <t>ECB_JUSTIF_FORWARD_LOOKING</t>
        </is>
      </c>
      <c r="F36" s="33" t="inlineStr">
        <is>
          <t>ERROR</t>
        </is>
      </c>
      <c r="G36" s="33" t="inlineStr">
        <is>
          <t>A justification related to the Forward Looking adjustment (Synergies - Cost Saving - Run Rate) is mandatory</t>
        </is>
      </c>
      <c r="H36" s="33" t="inlineStr">
        <is>
          <t>(à fournir)</t>
        </is>
      </c>
    </row>
    <row r="37" ht="30" customHeight="1" s="17">
      <c r="A37" s="33" t="inlineStr">
        <is>
          <t>ECB</t>
        </is>
      </c>
      <c r="B37" s="33" t="inlineStr">
        <is>
          <t>Q-F01</t>
        </is>
      </c>
      <c r="C37" s="33" t="inlineStr">
        <is>
          <t>otherJustifiedAdjustment</t>
        </is>
      </c>
      <c r="D37" s="33" t="inlineStr">
        <is>
          <t>JUSTIFICATION_REQUIRED</t>
        </is>
      </c>
      <c r="E37" s="33" t="inlineStr">
        <is>
          <t>ECB_JUSTIF_OTHER_JUSTIFIED</t>
        </is>
      </c>
      <c r="F37" s="33" t="inlineStr">
        <is>
          <t>ERROR</t>
        </is>
      </c>
      <c r="G37" s="33" t="inlineStr">
        <is>
          <t>A justification related to the Other justified adjustment is mandatory</t>
        </is>
      </c>
      <c r="H37" s="33" t="inlineStr">
        <is>
          <t>(à fournir)</t>
        </is>
      </c>
    </row>
    <row r="38" ht="30" customHeight="1" s="17">
      <c r="A38" s="33" t="inlineStr">
        <is>
          <t>ECB</t>
        </is>
      </c>
      <c r="B38" s="33" t="inlineStr">
        <is>
          <t>Q-F01</t>
        </is>
      </c>
      <c r="C38" s="33" t="inlineStr">
        <is>
          <t>committedUndrawnDebt</t>
        </is>
      </c>
      <c r="D38" s="33" t="inlineStr">
        <is>
          <t>JUSTIFICATION_REQUIRED</t>
        </is>
      </c>
      <c r="E38" s="33" t="inlineStr">
        <is>
          <t>ECB_JUSTIF_COMMITTED_UNDRAWN</t>
        </is>
      </c>
      <c r="F38" s="33" t="inlineStr">
        <is>
          <t>ERROR</t>
        </is>
      </c>
      <c r="G38" s="33" t="inlineStr">
        <is>
          <t>A justification related to the Committed Undrawn Debt is mandatory</t>
        </is>
      </c>
      <c r="H38" s="33" t="inlineStr">
        <is>
          <t>(à fournir)</t>
        </is>
      </c>
    </row>
    <row r="39" ht="30" customHeight="1" s="17">
      <c r="A39" s="33" t="inlineStr">
        <is>
          <t>ECB</t>
        </is>
      </c>
      <c r="B39" s="33" t="inlineStr">
        <is>
          <t>Q-F01</t>
        </is>
      </c>
      <c r="C39" s="33" t="inlineStr">
        <is>
          <t>newDrawnDebt</t>
        </is>
      </c>
      <c r="D39" s="33" t="inlineStr">
        <is>
          <t>JUSTIFICATION_REQUIRED</t>
        </is>
      </c>
      <c r="E39" s="33" t="inlineStr">
        <is>
          <t>ECB_JUSTIF_NEW_DRAWN</t>
        </is>
      </c>
      <c r="F39" s="33" t="inlineStr">
        <is>
          <t>ERROR</t>
        </is>
      </c>
      <c r="G39" s="33" t="inlineStr">
        <is>
          <t>A justification related to the New Drawn Debt is mandatory</t>
        </is>
      </c>
      <c r="H39" s="33" t="inlineStr">
        <is>
          <t>(à fournir)</t>
        </is>
      </c>
    </row>
    <row r="40" ht="30" customHeight="1" s="17">
      <c r="A40" s="33" t="inlineStr">
        <is>
          <t>ECB</t>
        </is>
      </c>
      <c r="B40" s="33" t="inlineStr">
        <is>
          <t>Q-F01</t>
        </is>
      </c>
      <c r="C40" s="33" t="inlineStr">
        <is>
          <t>newCommittedUndrawnDebt</t>
        </is>
      </c>
      <c r="D40" s="33" t="inlineStr">
        <is>
          <t>JUSTIFICATION_REQUIRED</t>
        </is>
      </c>
      <c r="E40" s="33" t="inlineStr">
        <is>
          <t>ECB_JUSTIF_NEW_COMMITTED_UNDRAWN</t>
        </is>
      </c>
      <c r="F40" s="33" t="inlineStr">
        <is>
          <t>ERROR</t>
        </is>
      </c>
      <c r="G40" s="33" t="inlineStr">
        <is>
          <t>A justification related to the New Committed Undrawn Debt is mandatory</t>
        </is>
      </c>
      <c r="H40" s="33" t="inlineStr">
        <is>
          <t>(à fournir)</t>
        </is>
      </c>
    </row>
    <row r="41" ht="30" customHeight="1" s="17">
      <c r="A41" s="33" t="inlineStr">
        <is>
          <t>ECB</t>
        </is>
      </c>
      <c r="B41" s="33" t="inlineStr">
        <is>
          <t>Q-F01</t>
        </is>
      </c>
      <c r="C41" s="33" t="inlineStr">
        <is>
          <t>ifrs16AdjustmentDebt</t>
        </is>
      </c>
      <c r="D41" s="33" t="inlineStr">
        <is>
          <t>JUSTIFICATION_REQUIRED</t>
        </is>
      </c>
      <c r="E41" s="33" t="inlineStr">
        <is>
          <t>ECB_JUSTIF_IFRS16_DEBT</t>
        </is>
      </c>
      <c r="F41" s="33" t="inlineStr">
        <is>
          <t>ERROR</t>
        </is>
      </c>
      <c r="G41" s="33" t="inlineStr">
        <is>
          <t>A justification related to the IFRS 16 adjustment is mandatory</t>
        </is>
      </c>
      <c r="H41" s="33" t="inlineStr">
        <is>
          <t>(à fournir)</t>
        </is>
      </c>
    </row>
    <row r="42" ht="30" customHeight="1" s="17">
      <c r="A42" s="33" t="inlineStr">
        <is>
          <t>ECB</t>
        </is>
      </c>
      <c r="B42" s="33" t="inlineStr">
        <is>
          <t>Q-F01</t>
        </is>
      </c>
      <c r="C42" s="33" t="inlineStr">
        <is>
          <t>otherAdjustmentDebt</t>
        </is>
      </c>
      <c r="D42" s="33" t="inlineStr">
        <is>
          <t>JUSTIFICATION_REQUIRED</t>
        </is>
      </c>
      <c r="E42" s="33" t="inlineStr">
        <is>
          <t>ECB_JUSTIF_OTHER_ADJUSTMENT</t>
        </is>
      </c>
      <c r="F42" s="33" t="inlineStr">
        <is>
          <t>ERROR</t>
        </is>
      </c>
      <c r="G42" s="33" t="inlineStr">
        <is>
          <t>A justification related to the Other justified adjustment is mandatory</t>
        </is>
      </c>
      <c r="H42" s="33" t="inlineStr">
        <is>
          <t>(à fournir)</t>
        </is>
      </c>
    </row>
    <row r="43" ht="30" customHeight="1" s="17">
      <c r="A43" s="33" t="inlineStr">
        <is>
          <t>ECB</t>
        </is>
      </c>
      <c r="B43" s="33" t="inlineStr">
        <is>
          <t>Q-F01</t>
        </is>
      </c>
      <c r="C43" s="33" t="inlineStr">
        <is>
          <t>committedUndrawnDebt</t>
        </is>
      </c>
      <c r="D43" s="33" t="inlineStr">
        <is>
          <t>MUST_BE_POSITIVE</t>
        </is>
      </c>
      <c r="E43" s="33" t="inlineStr">
        <is>
          <t>ECB_POSITIVE_COMMITTED_UNDRAWN</t>
        </is>
      </c>
      <c r="F43" s="33" t="inlineStr">
        <is>
          <t>ERROR</t>
        </is>
      </c>
      <c r="G43" s="33" t="inlineStr">
        <is>
          <t>The Committed Undrawn Debt amount should be positive</t>
        </is>
      </c>
      <c r="H43" s="33" t="inlineStr">
        <is>
          <t>(à fournir)</t>
        </is>
      </c>
    </row>
    <row r="44" ht="30" customHeight="1" s="17">
      <c r="A44" s="33" t="inlineStr">
        <is>
          <t>ECB</t>
        </is>
      </c>
      <c r="B44" s="33" t="inlineStr">
        <is>
          <t>Q-F01</t>
        </is>
      </c>
      <c r="C44" s="33" t="inlineStr">
        <is>
          <t>newDrawnDebt</t>
        </is>
      </c>
      <c r="D44" s="33" t="inlineStr">
        <is>
          <t>MUST_BE_POSITIVE</t>
        </is>
      </c>
      <c r="E44" s="33" t="inlineStr">
        <is>
          <t>ECB_POSITIVE_NEW_DRAWN</t>
        </is>
      </c>
      <c r="F44" s="33" t="inlineStr">
        <is>
          <t>ERROR</t>
        </is>
      </c>
      <c r="G44" s="33" t="inlineStr">
        <is>
          <t>The New Drawn Debt amount should be positive</t>
        </is>
      </c>
      <c r="H44" s="33" t="inlineStr">
        <is>
          <t>(à fournir)</t>
        </is>
      </c>
    </row>
    <row r="45" ht="30" customHeight="1" s="17">
      <c r="A45" s="33" t="inlineStr">
        <is>
          <t>ECB</t>
        </is>
      </c>
      <c r="B45" s="33" t="inlineStr">
        <is>
          <t>Q-F01</t>
        </is>
      </c>
      <c r="C45" s="33" t="inlineStr">
        <is>
          <t>newCommittedUndrawnDebt</t>
        </is>
      </c>
      <c r="D45" s="33" t="inlineStr">
        <is>
          <t>MUST_BE_POSITIVE</t>
        </is>
      </c>
      <c r="E45" s="33" t="inlineStr">
        <is>
          <t>ECB_POSITIVE_NEW_COMMITTED_UNDRAWN</t>
        </is>
      </c>
      <c r="F45" s="33" t="inlineStr">
        <is>
          <t>ERROR</t>
        </is>
      </c>
      <c r="G45" s="33" t="inlineStr">
        <is>
          <t>The New Committed Undrawn debt should be positive</t>
        </is>
      </c>
      <c r="H45" s="33" t="inlineStr">
        <is>
          <t>(à fournir)</t>
        </is>
      </c>
    </row>
    <row r="46" ht="48" customHeight="1" s="17">
      <c r="A46" s="49" t="inlineStr">
        <is>
          <t>Rule names the check the application runs; the presence of a row IS the rule, so there is nothing to switch on elsewhere. Leave Question Key blank for a form-wide message and Field Key blank for a whole question. Severity ERROR blocks the save, INFO does not. For Q-S06 the checks run in the order listed.</t>
        </is>
      </c>
      <c r="B46" s="50" t="n"/>
      <c r="C46" s="50" t="n"/>
      <c r="D46" s="50" t="n"/>
      <c r="E46" s="50" t="n"/>
      <c r="F46" s="50" t="n"/>
      <c r="G46" s="50" t="n"/>
      <c r="H46" s="50" t="n"/>
    </row>
    <row r="47" s="17">
      <c r="A47" s="50" t="n"/>
      <c r="B47" s="50" t="n"/>
      <c r="C47" s="50" t="n"/>
      <c r="D47" s="50" t="n"/>
      <c r="E47" s="50" t="n"/>
      <c r="F47" s="50" t="n"/>
      <c r="G47" s="50" t="n"/>
      <c r="H47" s="50" t="n"/>
    </row>
    <row r="48" s="17">
      <c r="A48" s="47" t="inlineStr">
        <is>
          <t>INFO PANELS  (read-only blocks pulled from RMPM and shown when a flag takes a given value)</t>
        </is>
      </c>
      <c r="B48" s="48" t="n"/>
      <c r="C48" s="48" t="n"/>
      <c r="D48" s="48" t="n"/>
      <c r="E48" s="48" t="n"/>
      <c r="F48" s="48" t="n"/>
      <c r="G48" s="48" t="n"/>
      <c r="H48" s="48" t="n"/>
    </row>
    <row r="49" s="17">
      <c r="A49" s="40" t="inlineStr">
        <is>
          <t>Panel Key</t>
        </is>
      </c>
      <c r="B49" s="40" t="inlineStr">
        <is>
          <t>Title EN</t>
        </is>
      </c>
      <c r="C49" s="40" t="inlineStr">
        <is>
          <t>Title FR</t>
        </is>
      </c>
      <c r="D49" s="40" t="inlineStr">
        <is>
          <t>Source</t>
        </is>
      </c>
      <c r="E49" s="40" t="inlineStr">
        <is>
          <t>Fields</t>
        </is>
      </c>
      <c r="F49" s="40" t="inlineStr">
        <is>
          <t>Shown When</t>
        </is>
      </c>
      <c r="G49" s="40" t="inlineStr"/>
      <c r="H49" s="40" t="inlineStr"/>
    </row>
    <row r="50" ht="44" customHeight="1" s="17">
      <c r="A50" s="33" t="inlineStr">
        <is>
          <t>CURRENT_LEVERAGE_TX_FLAGS</t>
        </is>
      </c>
      <c r="B50" s="33" t="inlineStr">
        <is>
          <t>Current Leverage Transaction Flags</t>
        </is>
      </c>
      <c r="C50" s="33" t="inlineStr">
        <is>
          <t>Flags de levier de la transaction en cours</t>
        </is>
      </c>
      <c r="D50" s="33" t="inlineStr">
        <is>
          <t>COUNTERPARTY_CHARACTERISTICS</t>
        </is>
      </c>
      <c r="E50" s="33" t="inlineStr">
        <is>
          <t>leveragedFlag ; covenantStructure ; ecbLeverageRatio ; leverageDate</t>
        </is>
      </c>
      <c r="F50" s="33" t="inlineStr">
        <is>
          <t>ecbLeveragedFlag is INR</t>
        </is>
      </c>
      <c r="G50" s="33" t="n"/>
      <c r="H50" s="33" t="n"/>
    </row>
    <row r="51" ht="48" customHeight="1" s="17">
      <c r="A51" s="49" t="inlineStr">
        <is>
          <t>A panel is NOT an answer and NOT an output flag — it is existing RMPM data displayed for context. Because the rule lives here, EVERY branch that sets that flag to that value shows the panel; you never repeat it on a branch. leveragedFlag and covenantStructure arrive as numbers and are shown using the Flag Values tab.</t>
        </is>
      </c>
      <c r="B51" s="50" t="n"/>
      <c r="C51" s="50" t="n"/>
      <c r="D51" s="50" t="n"/>
      <c r="E51" s="50" t="n"/>
      <c r="F51" s="50" t="n"/>
      <c r="G51" s="50" t="n"/>
      <c r="H51" s="50" t="n"/>
    </row>
    <row r="52" s="17">
      <c r="A52" s="50" t="n"/>
      <c r="B52" s="50" t="n"/>
      <c r="C52" s="50" t="n"/>
      <c r="D52" s="50" t="n"/>
      <c r="E52" s="50" t="n"/>
      <c r="F52" s="50" t="n"/>
      <c r="G52" s="50" t="n"/>
      <c r="H52" s="50" t="n"/>
    </row>
    <row r="53" s="17">
      <c r="A53" s="50" t="n"/>
      <c r="B53" s="50" t="n"/>
      <c r="C53" s="50" t="n"/>
      <c r="D53" s="50" t="n"/>
      <c r="E53" s="50" t="n"/>
      <c r="F53" s="50" t="n"/>
      <c r="G53" s="50" t="n"/>
      <c r="H53" s="50" t="n"/>
    </row>
    <row r="54" s="17">
      <c r="A54" s="50" t="n"/>
      <c r="B54" s="50" t="n"/>
      <c r="C54" s="50" t="n"/>
      <c r="D54" s="50" t="n"/>
      <c r="E54" s="50" t="n"/>
      <c r="F54" s="50" t="n"/>
      <c r="G54" s="50" t="n"/>
      <c r="H54" s="50" t="n"/>
    </row>
    <row r="55" s="17">
      <c r="A55" s="50" t="n"/>
      <c r="B55" s="50" t="n"/>
      <c r="C55" s="50" t="n"/>
      <c r="D55" s="50" t="n"/>
      <c r="E55" s="50" t="n"/>
      <c r="F55" s="50" t="n"/>
      <c r="G55" s="50" t="n"/>
      <c r="H55" s="50" t="n"/>
    </row>
    <row r="56" s="17">
      <c r="A56" s="50" t="n"/>
      <c r="B56" s="50" t="n"/>
      <c r="C56" s="50" t="n"/>
      <c r="D56" s="50" t="n"/>
      <c r="E56" s="50" t="n"/>
      <c r="F56" s="50" t="n"/>
      <c r="G56" s="50" t="n"/>
      <c r="H56" s="50" t="n"/>
    </row>
    <row r="57" s="17">
      <c r="A57" s="50" t="n"/>
      <c r="B57" s="50" t="n"/>
      <c r="C57" s="50" t="n"/>
      <c r="D57" s="50" t="n"/>
      <c r="E57" s="50" t="n"/>
      <c r="F57" s="50" t="n"/>
      <c r="G57" s="50" t="n"/>
      <c r="H57" s="50" t="n"/>
    </row>
    <row r="58" s="17">
      <c r="A58" s="50" t="n"/>
      <c r="B58" s="50" t="n"/>
      <c r="C58" s="50" t="n"/>
      <c r="D58" s="50" t="n"/>
      <c r="E58" s="50" t="n"/>
      <c r="F58" s="50" t="n"/>
      <c r="G58" s="50" t="n"/>
      <c r="H58" s="50" t="n"/>
    </row>
    <row r="59" s="17">
      <c r="A59" s="50" t="n"/>
      <c r="B59" s="50" t="n"/>
      <c r="C59" s="50" t="n"/>
      <c r="D59" s="50" t="n"/>
      <c r="E59" s="50" t="n"/>
      <c r="F59" s="50" t="n"/>
      <c r="G59" s="50" t="n"/>
      <c r="H59" s="50"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4" customWidth="1" style="17" min="1" max="1"/>
    <col width="32" customWidth="1" style="17" min="2" max="2"/>
    <col width="13" customWidth="1" style="17" min="3" max="3"/>
    <col width="34" customWidth="1" style="17" min="4" max="4"/>
    <col width="26" customWidth="1" style="17" min="5" max="5"/>
    <col width="10" customWidth="1" style="17" min="6" max="6"/>
  </cols>
  <sheetData>
    <row r="1">
      <c r="A1" s="44" t="inlineStr">
        <is>
          <t>Flag Values — what each coded flag stores in the database</t>
        </is>
      </c>
    </row>
    <row r="2">
      <c r="A2" s="45" t="inlineStr">
        <is>
          <t>Only flags marked CODE on the Forms tab appear here. Set By says which form is allowed to write the value.</t>
        </is>
      </c>
    </row>
    <row r="3">
      <c r="A3" s="40" t="inlineStr">
        <is>
          <t>Value Set</t>
        </is>
      </c>
      <c r="B3" s="40" t="inlineStr">
        <is>
          <t>Code</t>
        </is>
      </c>
      <c r="C3" s="40" t="inlineStr">
        <is>
          <t>Stored Value</t>
        </is>
      </c>
      <c r="D3" s="40" t="inlineStr">
        <is>
          <t>Display EN</t>
        </is>
      </c>
      <c r="E3" s="40" t="inlineStr">
        <is>
          <t>Display FR</t>
        </is>
      </c>
      <c r="F3" s="40" t="inlineStr">
        <is>
          <t>Set By</t>
        </is>
      </c>
    </row>
    <row r="4" ht="20" customHeight="1" s="17">
      <c r="A4" s="33" t="inlineStr">
        <is>
          <t>LEVERAGED_FLAG</t>
        </is>
      </c>
      <c r="B4" s="33" t="inlineStr">
        <is>
          <t>ECB_NOT_LEVERAGED</t>
        </is>
      </c>
      <c r="C4" s="33" t="n">
        <v>0</v>
      </c>
      <c r="D4" s="33" t="inlineStr">
        <is>
          <t>ECB Not Leveraged</t>
        </is>
      </c>
      <c r="E4" s="33" t="n"/>
      <c r="F4" s="33" t="inlineStr">
        <is>
          <t>ECB</t>
        </is>
      </c>
    </row>
    <row r="5" ht="20" customHeight="1" s="17">
      <c r="A5" s="33" t="inlineStr">
        <is>
          <t>LEVERAGED_FLAG</t>
        </is>
      </c>
      <c r="B5" s="33" t="inlineStr">
        <is>
          <t>ECB_LEVERAGED</t>
        </is>
      </c>
      <c r="C5" s="33" t="n">
        <v>1</v>
      </c>
      <c r="D5" s="33" t="inlineStr">
        <is>
          <t>ECB Leveraged</t>
        </is>
      </c>
      <c r="E5" s="33" t="n"/>
      <c r="F5" s="33" t="inlineStr">
        <is>
          <t>ECB</t>
        </is>
      </c>
    </row>
    <row r="6" ht="20" customHeight="1" s="17">
      <c r="A6" s="33" t="inlineStr">
        <is>
          <t>LEVERAGED_FLAG</t>
        </is>
      </c>
      <c r="B6" s="33" t="inlineStr">
        <is>
          <t>INR</t>
        </is>
      </c>
      <c r="C6" s="33" t="n">
        <v>2</v>
      </c>
      <c r="D6" s="33" t="inlineStr">
        <is>
          <t>INR</t>
        </is>
      </c>
      <c r="E6" s="33" t="n"/>
      <c r="F6" s="33" t="inlineStr">
        <is>
          <t>BOTH</t>
        </is>
      </c>
    </row>
    <row r="7" ht="20" customHeight="1" s="17">
      <c r="A7" s="33" t="inlineStr">
        <is>
          <t>LEVERAGED_FLAG</t>
        </is>
      </c>
      <c r="B7" s="33" t="inlineStr">
        <is>
          <t>FED_NOT_LEVERAGED</t>
        </is>
      </c>
      <c r="C7" s="33" t="n">
        <v>3</v>
      </c>
      <c r="D7" s="33" t="inlineStr">
        <is>
          <t>FED Not Leveraged</t>
        </is>
      </c>
      <c r="E7" s="33" t="n"/>
      <c r="F7" s="33" t="inlineStr">
        <is>
          <t>FED</t>
        </is>
      </c>
    </row>
    <row r="8" ht="20" customHeight="1" s="17">
      <c r="A8" s="33" t="inlineStr">
        <is>
          <t>LEVERAGED_FLAG</t>
        </is>
      </c>
      <c r="B8" s="33" t="inlineStr">
        <is>
          <t>FED_LEVERAGED</t>
        </is>
      </c>
      <c r="C8" s="33" t="n">
        <v>4</v>
      </c>
      <c r="D8" s="33" t="inlineStr">
        <is>
          <t>FED Leveraged</t>
        </is>
      </c>
      <c r="E8" s="33" t="n"/>
      <c r="F8" s="33" t="inlineStr">
        <is>
          <t>FED</t>
        </is>
      </c>
    </row>
    <row r="9" ht="20" customHeight="1" s="17">
      <c r="A9" s="33" t="inlineStr">
        <is>
          <t>LEVERAGED_FLAG</t>
        </is>
      </c>
      <c r="B9" s="33" t="inlineStr">
        <is>
          <t>CALCULATION_AT_BG_OR_OTHER_LE</t>
        </is>
      </c>
      <c r="C9" s="33" t="n">
        <v>5</v>
      </c>
      <c r="D9" s="33" t="inlineStr">
        <is>
          <t>Calculation at BG or another LE level</t>
        </is>
      </c>
      <c r="E9" s="33" t="n"/>
      <c r="F9" s="33" t="inlineStr">
        <is>
          <t>ECB</t>
        </is>
      </c>
    </row>
    <row r="10" ht="20" customHeight="1" s="17">
      <c r="A10" s="33" t="inlineStr">
        <is>
          <t>LEVERAGED_FLAG</t>
        </is>
      </c>
      <c r="B10" s="33" t="inlineStr">
        <is>
          <t>FED_LEVERAGED_LOW_RISK</t>
        </is>
      </c>
      <c r="C10" s="33" t="n">
        <v>6</v>
      </c>
      <c r="D10" s="33" t="inlineStr">
        <is>
          <t>FED Leveraged Low Risk</t>
        </is>
      </c>
      <c r="E10" s="33" t="n"/>
      <c r="F10" s="33" t="inlineStr">
        <is>
          <t>FED</t>
        </is>
      </c>
    </row>
    <row r="11" ht="20" customHeight="1" s="17">
      <c r="A11" s="33" t="inlineStr">
        <is>
          <t>LEVERAGED_FLAG</t>
        </is>
      </c>
      <c r="B11" s="33" t="inlineStr">
        <is>
          <t>FED_LEVERAGED_HIGH_RISK</t>
        </is>
      </c>
      <c r="C11" s="33" t="n">
        <v>7</v>
      </c>
      <c r="D11" s="33" t="inlineStr">
        <is>
          <t>FED Leveraged High Risk</t>
        </is>
      </c>
      <c r="E11" s="33" t="n"/>
      <c r="F11" s="33" t="inlineStr">
        <is>
          <t>FED</t>
        </is>
      </c>
    </row>
    <row r="12" ht="20" customHeight="1" s="17">
      <c r="A12" s="33" t="inlineStr">
        <is>
          <t>COVENANT_STRUCTURE</t>
        </is>
      </c>
      <c r="B12" s="33" t="inlineStr">
        <is>
          <t>NONE</t>
        </is>
      </c>
      <c r="C12" s="33" t="n">
        <v>0</v>
      </c>
      <c r="D12" s="33" t="inlineStr">
        <is>
          <t>No Covenant</t>
        </is>
      </c>
      <c r="E12" s="33" t="inlineStr">
        <is>
          <t>Sans covenant</t>
        </is>
      </c>
      <c r="F12" s="33" t="inlineStr">
        <is>
          <t>ECB</t>
        </is>
      </c>
    </row>
    <row r="13" ht="20" customHeight="1" s="17">
      <c r="A13" s="33" t="inlineStr">
        <is>
          <t>COVENANT_STRUCTURE</t>
        </is>
      </c>
      <c r="B13" s="33" t="inlineStr">
        <is>
          <t>FULL</t>
        </is>
      </c>
      <c r="C13" s="33" t="n">
        <v>1</v>
      </c>
      <c r="D13" s="33" t="inlineStr">
        <is>
          <t>Full Covenant</t>
        </is>
      </c>
      <c r="E13" s="33" t="inlineStr">
        <is>
          <t>Full Covenant</t>
        </is>
      </c>
      <c r="F13" s="33" t="inlineStr">
        <is>
          <t>ECB</t>
        </is>
      </c>
    </row>
    <row r="14" ht="20" customHeight="1" s="17">
      <c r="A14" s="33" t="inlineStr">
        <is>
          <t>COVENANT_STRUCTURE</t>
        </is>
      </c>
      <c r="B14" s="33" t="inlineStr">
        <is>
          <t>LOOSE</t>
        </is>
      </c>
      <c r="C14" s="33" t="n">
        <v>2</v>
      </c>
      <c r="D14" s="33" t="inlineStr">
        <is>
          <t>Covenant "Loose"</t>
        </is>
      </c>
      <c r="E14" s="33" t="inlineStr">
        <is>
          <t>Covenant « Loose »</t>
        </is>
      </c>
      <c r="F14" s="33" t="inlineStr">
        <is>
          <t>ECB</t>
        </is>
      </c>
    </row>
    <row r="15" ht="20" customHeight="1" s="17">
      <c r="A15" s="33" t="inlineStr">
        <is>
          <t>COVENANT_STRUCTURE</t>
        </is>
      </c>
      <c r="B15" s="33" t="inlineStr">
        <is>
          <t>LITE</t>
        </is>
      </c>
      <c r="C15" s="33" t="n">
        <v>3</v>
      </c>
      <c r="D15" s="33" t="inlineStr">
        <is>
          <t>Covenant "Lite"</t>
        </is>
      </c>
      <c r="E15" s="33" t="inlineStr">
        <is>
          <t>Covenant « Lite »</t>
        </is>
      </c>
      <c r="F15" s="33" t="inlineStr">
        <is>
          <t>ECB</t>
        </is>
      </c>
    </row>
    <row r="17" ht="56" customHeight="1" s="17">
      <c r="A17" s="41" t="inlineStr">
        <is>
          <t>There is deliberately NO "ECB Highly Leveraged" code — confirmed with the BA, it does not exist in CRF. A transaction above 6x is ECB_LEVERAGED (1) and carries escalatedTransactions = YES; the severity lives in the escalation flag, not in a fourth leveraged value.  ⚠ French display text is still missing for the Leveraged Flag set.</t>
        </is>
      </c>
    </row>
  </sheetData>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V9"/>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3" customWidth="1" style="16" min="1" max="1"/>
    <col width="6" customWidth="1" style="16" min="2" max="2"/>
    <col width="15" customWidth="1" style="16" min="3" max="3"/>
    <col width="10" customWidth="1" style="16" min="4" max="4"/>
    <col width="9" customWidth="1" style="16" min="5" max="7"/>
    <col width="26" customWidth="1" style="16" min="8" max="8"/>
    <col width="34" customWidth="1" style="16" min="9" max="9"/>
    <col width="18" customWidth="1" style="16" min="10" max="10"/>
    <col width="30" customWidth="1" style="16" min="11" max="11"/>
    <col width="24" customWidth="1" style="16" min="12" max="14"/>
    <col width="22" customWidth="1" style="16" min="15" max="16"/>
    <col width="40" customWidth="1" style="16" min="17" max="17"/>
    <col width="40" customWidth="1" style="16" min="18" max="18"/>
    <col width="34" customWidth="1" style="16" min="19" max="19"/>
    <col width="40" customWidth="1" style="16" min="20" max="20"/>
    <col width="20" customWidth="1" style="17" min="21" max="21"/>
  </cols>
  <sheetData>
    <row r="1" ht="18.55" customHeight="1" s="17">
      <c r="A1" s="18" t="inlineStr">
        <is>
          <t>PRELIMINARY — Questions</t>
        </is>
      </c>
    </row>
    <row r="2" ht="15" customHeight="1" s="17">
      <c r="A2" s="43" t="inlineStr">
        <is>
          <t>One row per question. See the Instructions tab for the column meanings and the Branches language. Rows are written breadth-first for readability; the order questions appear on screen comes from the Branches, not from the row position.</t>
        </is>
      </c>
    </row>
    <row r="3" ht="15" customHeight="1" s="17">
      <c r="A3" s="36" t="inlineStr">
        <is>
          <t>Question Key</t>
        </is>
      </c>
      <c r="B3" s="36" t="inlineStr">
        <is>
          <t>Type</t>
        </is>
      </c>
      <c r="C3" s="36" t="inlineStr">
        <is>
          <t>Mandatory</t>
        </is>
      </c>
      <c r="D3" s="36" t="inlineStr">
        <is>
          <t>Computed</t>
        </is>
      </c>
      <c r="E3" s="36" t="inlineStr">
        <is>
          <t>Editable</t>
        </is>
      </c>
      <c r="F3" s="36" t="inlineStr">
        <is>
          <t>Derived From</t>
        </is>
      </c>
      <c r="G3" s="40" t="inlineStr">
        <is>
          <t>Value Rules</t>
        </is>
      </c>
      <c r="H3" s="40" t="inlineStr">
        <is>
          <t>Prefill From</t>
        </is>
      </c>
      <c r="I3" s="36" t="inlineStr">
        <is>
          <t>Label EN</t>
        </is>
      </c>
      <c r="J3" s="36" t="inlineStr">
        <is>
          <t>Bullets EN</t>
        </is>
      </c>
      <c r="K3" s="36" t="inlineStr">
        <is>
          <t>Label FR</t>
        </is>
      </c>
      <c r="L3" s="36" t="inlineStr">
        <is>
          <t>Bullets FR</t>
        </is>
      </c>
      <c r="M3" s="36" t="inlineStr">
        <is>
          <t>Subtitle EN</t>
        </is>
      </c>
      <c r="N3" s="36" t="inlineStr">
        <is>
          <t>Subtitle FR</t>
        </is>
      </c>
      <c r="O3" s="36" t="inlineStr">
        <is>
          <t>Note EN</t>
        </is>
      </c>
      <c r="P3" s="36" t="inlineStr">
        <is>
          <t>Note FR</t>
        </is>
      </c>
      <c r="Q3" s="40" t="inlineStr">
        <is>
          <t>Note Bullets EN</t>
        </is>
      </c>
      <c r="R3" s="40" t="inlineStr">
        <is>
          <t>Note Bullets FR</t>
        </is>
      </c>
      <c r="S3" s="36" t="inlineStr">
        <is>
          <t>Options</t>
        </is>
      </c>
      <c r="T3" s="36" t="inlineStr">
        <is>
          <t>Items</t>
        </is>
      </c>
      <c r="U3" s="36" t="inlineStr">
        <is>
          <t>Branches</t>
        </is>
      </c>
      <c r="V3" s="40" t="inlineStr">
        <is>
          <t>Fills Flag</t>
        </is>
      </c>
    </row>
    <row r="4" ht="91" customHeight="1" s="17">
      <c r="A4" s="37" t="inlineStr">
        <is>
          <t>Q01</t>
        </is>
      </c>
      <c r="B4" s="37" t="inlineStr">
        <is>
          <t>SINGLE_CHOICE</t>
        </is>
      </c>
      <c r="C4" s="37" t="inlineStr">
        <is>
          <t>Yes</t>
        </is>
      </c>
      <c r="D4" s="37" t="inlineStr">
        <is>
          <t>No</t>
        </is>
      </c>
      <c r="E4" s="37" t="inlineStr">
        <is>
          <t>Yes</t>
        </is>
      </c>
      <c r="F4" s="37" t="n"/>
      <c r="I4" s="37" t="inlineStr">
        <is>
          <t>Is your client under the coverage of:</t>
        </is>
      </c>
      <c r="J4" s="37" t="inlineStr">
        <is>
          <t>Ukrsibbank
BNPP El Djazaïr
Leasing Solutions
Personal Finance
BNPP Factor
Arval and their subsidiaries (Ifitalia for example)?</t>
        </is>
      </c>
      <c r="K4" s="37" t="inlineStr">
        <is>
          <t>Votre client est-il sous coverage Leasing Solutions, Personal Finance, BNPP Factor, Ifitalia, Arval et leurs filiales (Ifitalia par exemple) ?</t>
        </is>
      </c>
      <c r="L4" s="37" t="n"/>
      <c r="M4" s="37" t="inlineStr">
        <is>
          <t>The ECB and FED Leverage Lending forms are not applicable for EM Banks except BNPP Polska, TEB, BMCI. For CIB, BCEF, BNPP Fortis, BNL and BGL clients, a "No" answer applies.</t>
        </is>
      </c>
      <c r="N4" s="37" t="inlineStr">
        <is>
          <t>Les formulaires Leverage Lending BCE et FED ne s'appliquent pas aux banques de CPBS Emerging Markets sauf BNPP Polska, TEB, BMCI. Pour les clients CIB, BCEF, BNPP Fortis, BNL et BGL, une réponse "Non" est attendue.</t>
        </is>
      </c>
      <c r="O4" s="37" t="n"/>
      <c r="P4" s="37" t="n"/>
      <c r="S4" s="37" t="inlineStr">
        <is>
          <t>YES|Yes|Oui ; NO|No|Non</t>
        </is>
      </c>
      <c r="T4" s="37" t="n"/>
      <c r="U4" s="37" t="inlineStr">
        <is>
          <t>YES -&gt; END, outcome=NOT_REQUIRED
NO -&gt; Q02</t>
        </is>
      </c>
    </row>
    <row r="5" ht="68.65000000000001" customHeight="1" s="17">
      <c r="A5" s="37" t="inlineStr">
        <is>
          <t>Q02</t>
        </is>
      </c>
      <c r="B5" s="37" t="inlineStr">
        <is>
          <t>SINGLE_CHOICE</t>
        </is>
      </c>
      <c r="C5" s="37" t="inlineStr">
        <is>
          <t>Yes</t>
        </is>
      </c>
      <c r="D5" s="37" t="inlineStr">
        <is>
          <t>No</t>
        </is>
      </c>
      <c r="E5" s="37" t="inlineStr">
        <is>
          <t>Yes</t>
        </is>
      </c>
      <c r="F5" s="37" t="n"/>
      <c r="I5" s="37" t="inlineStr">
        <is>
          <t>Does the client have facilities booked in the US, and/or intended for distribution in the United States with a firm underwriting commitment and/or distributed in the US on a "best efforts" basis?</t>
        </is>
      </c>
      <c r="J5" s="37" t="n"/>
      <c r="K5" s="37" t="inlineStr">
        <is>
          <t>Le client a-t-il des facilités bookées aux États-Unis ou, dans le cadre d'une syndication, des facilités destinées à être distribuées aux États-Unis ?</t>
        </is>
      </c>
      <c r="L5" s="37" t="n"/>
      <c r="M5" s="37" t="n"/>
      <c r="N5" s="37" t="n"/>
      <c r="O5" s="37" t="n"/>
      <c r="P5" s="37" t="n"/>
      <c r="S5" s="37" t="inlineStr">
        <is>
          <t>YES|Yes|Oui ; NO|No|Non</t>
        </is>
      </c>
      <c r="T5" s="37" t="n"/>
      <c r="U5" s="37" t="inlineStr">
        <is>
          <t>NO -&gt; END, outcome=ECB
YES -&gt; Q03</t>
        </is>
      </c>
    </row>
    <row r="6" ht="46.25" customHeight="1" s="17">
      <c r="A6" s="37" t="inlineStr">
        <is>
          <t>Q03</t>
        </is>
      </c>
      <c r="B6" s="37" t="inlineStr">
        <is>
          <t>SINGLE_CHOICE</t>
        </is>
      </c>
      <c r="C6" s="37" t="inlineStr">
        <is>
          <t>Yes</t>
        </is>
      </c>
      <c r="D6" s="37" t="inlineStr">
        <is>
          <t>No</t>
        </is>
      </c>
      <c r="E6" s="37" t="inlineStr">
        <is>
          <t>Yes</t>
        </is>
      </c>
      <c r="F6" s="37" t="n"/>
      <c r="I6" s="37" t="inlineStr">
        <is>
          <t>Is BNPP exposure composed by global market facilities only (derivatives), public financing activities, or small business loans?</t>
        </is>
      </c>
      <c r="J6" s="37" t="n"/>
      <c r="K6" s="37" t="inlineStr">
        <is>
          <t>L'exposition BNPP est-elle composée uniquement de facilités Global Markets, de financement d'entités publiques ou de prêts aux petites entreprises US ?</t>
        </is>
      </c>
      <c r="L6" s="37" t="n"/>
      <c r="M6" s="37" t="n"/>
      <c r="N6" s="37" t="n"/>
      <c r="O6" s="37" t="n"/>
      <c r="P6" s="37" t="n"/>
      <c r="S6" s="37" t="inlineStr">
        <is>
          <t>YES|Yes|Oui ; NO|No|Non</t>
        </is>
      </c>
      <c r="T6" s="37" t="n"/>
      <c r="U6" s="37" t="inlineStr">
        <is>
          <t>YES -&gt; END, outcome=ECB
NO -&gt; Q04</t>
        </is>
      </c>
    </row>
    <row r="7" ht="91" customHeight="1" s="17">
      <c r="A7" s="37" t="inlineStr">
        <is>
          <t>Q04</t>
        </is>
      </c>
      <c r="B7" s="37" t="inlineStr">
        <is>
          <t>SINGLE_CHOICE</t>
        </is>
      </c>
      <c r="C7" s="37" t="inlineStr">
        <is>
          <t>Yes</t>
        </is>
      </c>
      <c r="D7" s="37" t="inlineStr">
        <is>
          <t>No</t>
        </is>
      </c>
      <c r="E7" s="37" t="inlineStr">
        <is>
          <t>Yes</t>
        </is>
      </c>
      <c r="F7" s="37" t="n"/>
      <c r="I7" s="37" t="inlineStr">
        <is>
          <t>Does the Credit Proposal include a FED Credit Event?</t>
        </is>
      </c>
      <c r="J7" s="37" t="inlineStr">
        <is>
          <t>At every origination, extension, refinancing or material modification (1)
Entry of the obligor in Watchlist
Downgrade to default of the obligor
Annual Review of uncommitted facilities (booked in the US)</t>
        </is>
      </c>
      <c r="K7" s="37" t="inlineStr">
        <is>
          <t>La proposition de crédit inclut-elle un évènement de crédit FED ?</t>
        </is>
      </c>
      <c r="L7" s="37" t="inlineStr">
        <is>
          <t>À toute origination, extension, refinancement ou amendement matériel (1)
Entrée du débiteur dans la Watchlist
Entrée en défaut du débiteur
Revue Annuelle des facilités uncommitted (États-Unis)</t>
        </is>
      </c>
      <c r="M7" s="37" t="inlineStr">
        <is>
          <t>(1) Material waivers and amendments are defined in the Waivers and Amendments policy.</t>
        </is>
      </c>
      <c r="N7" s="37" t="inlineStr">
        <is>
          <t>(1) Les Waivers et Amendements matériels sont définis dans la politique correspondante.</t>
        </is>
      </c>
      <c r="O7" s="37" t="n"/>
      <c r="P7" s="37" t="n"/>
      <c r="S7" s="37" t="inlineStr">
        <is>
          <t>YES|Yes|Oui ; NO|No|Non</t>
        </is>
      </c>
      <c r="T7" s="37" t="n"/>
      <c r="U7" s="37" t="inlineStr">
        <is>
          <t>YES -&gt; END, outcome=ECB_AND_FED
NO -&gt; Q05</t>
        </is>
      </c>
    </row>
    <row r="8" ht="57.45" customHeight="1" s="17">
      <c r="A8" s="37" t="inlineStr">
        <is>
          <t>Q05</t>
        </is>
      </c>
      <c r="B8" s="37" t="inlineStr">
        <is>
          <t>SINGLE_CHOICE</t>
        </is>
      </c>
      <c r="C8" s="37" t="inlineStr">
        <is>
          <t>Yes</t>
        </is>
      </c>
      <c r="D8" s="37" t="inlineStr">
        <is>
          <t>No</t>
        </is>
      </c>
      <c r="E8" s="37" t="inlineStr">
        <is>
          <t>Yes</t>
        </is>
      </c>
      <c r="F8" s="37" t="n"/>
      <c r="I8" s="37" t="inlineStr">
        <is>
          <t>Does this credit proposal include the Annual Review of a Fed leveraged client or a need to change the classification of a Fed leveraged client from High to Low risk and vice versa?</t>
        </is>
      </c>
      <c r="J8" s="37" t="n"/>
      <c r="K8" s="37" t="inlineStr">
        <is>
          <t>Cette proposition inclut-elle la Revue Annuelle d'un client FED Leveraged ou un changement de classification High/Low risk ?</t>
        </is>
      </c>
      <c r="L8" s="37" t="n"/>
      <c r="M8" s="37" t="n"/>
      <c r="N8" s="37" t="n"/>
      <c r="O8" s="37" t="inlineStr">
        <is>
          <t>If this is an Annual Review without any credit event of an LBO, answer "No": LBOs must remain Fed Leveraged High Risk regardless.</t>
        </is>
      </c>
      <c r="P8" s="37" t="inlineStr">
        <is>
          <t>S'il s'agit d'une Revue Annuelle d'un LBO sans Credit Event, répondez "Non" : les LBO restent "Fed Leveraged High Risk".</t>
        </is>
      </c>
      <c r="S8" s="37" t="inlineStr">
        <is>
          <t>YES|Yes|Oui ; NO|No|Non</t>
        </is>
      </c>
      <c r="T8" s="37" t="n"/>
      <c r="U8" s="37" t="inlineStr">
        <is>
          <t>YES -&gt; END, outcome=ECB_AND_FED
NO -&gt; END, outcome=ECB</t>
        </is>
      </c>
    </row>
    <row r="9" ht="46.25" customHeight="1" s="17">
      <c r="A9" s="37" t="inlineStr">
        <is>
          <t>Q06</t>
        </is>
      </c>
      <c r="B9" s="37" t="inlineStr">
        <is>
          <t>COMPUTED</t>
        </is>
      </c>
      <c r="C9" s="37" t="inlineStr">
        <is>
          <t>No</t>
        </is>
      </c>
      <c r="D9" s="37" t="inlineStr">
        <is>
          <t>Yes</t>
        </is>
      </c>
      <c r="E9" s="37" t="inlineStr">
        <is>
          <t>No</t>
        </is>
      </c>
      <c r="F9" s="37" t="inlineStr">
        <is>
          <t>OUTCOME</t>
        </is>
      </c>
      <c r="I9" s="37" t="inlineStr">
        <is>
          <t>Which Leveraged Lending Policy should apply?</t>
        </is>
      </c>
      <c r="J9" s="37" t="n"/>
      <c r="K9" s="37" t="inlineStr">
        <is>
          <t>Quelle politique d'effet de levier est applicable ?</t>
        </is>
      </c>
      <c r="L9" s="37" t="n"/>
      <c r="M9" s="37" t="n"/>
      <c r="N9" s="37" t="n"/>
      <c r="O9" s="37" t="n"/>
      <c r="P9" s="37" t="n"/>
      <c r="S9" s="37" t="inlineStr">
        <is>
          <t>NOT_APPLICABLE|Not applicable|Non applicable ; ECB|ECB|ECB ; ECB_AND_FED|ECB and FED|ECB and FED</t>
        </is>
      </c>
      <c r="T9" s="37" t="n"/>
      <c r="U9" s="37" t="n"/>
    </row>
  </sheetData>
  <dataValidations count="5">
    <dataValidation sqref="C4:C80" showDropDown="0" showInputMessage="0" showErrorMessage="0" allowBlank="1" type="list" errorStyle="stop" operator="between">
      <formula1>"SINGLE_CHOICE,NUMERIC,TEXT,CHECKLIST,DATA_ENTRY,COMPUTED"</formula1>
      <formula2>0</formula2>
    </dataValidation>
    <dataValidation sqref="D4:D80" showDropDown="0" showInputMessage="0" showErrorMessage="0" allowBlank="1" type="list" errorStyle="stop" operator="between">
      <formula1>"Yes,No"</formula1>
      <formula2>0</formula2>
    </dataValidation>
    <dataValidation sqref="E4:E80" showDropDown="0" showInputMessage="0" showErrorMessage="0" allowBlank="1" type="list" errorStyle="stop" operator="between">
      <formula1>"Yes,No"</formula1>
      <formula2>0</formula2>
    </dataValidation>
    <dataValidation sqref="F4:F80" showDropDown="0" showInputMessage="0" showErrorMessage="0" allowBlank="1" type="list" errorStyle="stop" operator="between">
      <formula1>"Yes,No"</formula1>
      <formula2>0</formula2>
    </dataValidation>
    <dataValidation sqref="G4:G80"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V23"/>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3" customWidth="1" style="16" min="1" max="1"/>
    <col width="6" customWidth="1" style="16" min="2" max="2"/>
    <col width="15" customWidth="1" style="16" min="3" max="3"/>
    <col width="10" customWidth="1" style="16" min="4" max="4"/>
    <col width="9" customWidth="1" style="16" min="5" max="7"/>
    <col width="26" customWidth="1" style="16" min="8" max="8"/>
    <col width="34" customWidth="1" style="16" min="9" max="9"/>
    <col width="18" customWidth="1" style="16" min="10" max="10"/>
    <col width="30" customWidth="1" style="16" min="11" max="11"/>
    <col width="24" customWidth="1" style="16" min="12" max="14"/>
    <col width="22" customWidth="1" style="16" min="15" max="16"/>
    <col width="40" customWidth="1" style="16" min="17" max="17"/>
    <col width="40" customWidth="1" style="16" min="18" max="18"/>
    <col width="34" customWidth="1" style="16" min="19" max="19"/>
    <col width="40" customWidth="1" style="16" min="20" max="20"/>
    <col width="20" customWidth="1" style="17" min="21" max="21"/>
  </cols>
  <sheetData>
    <row r="1" ht="18.55" customHeight="1" s="17">
      <c r="A1" s="18" t="inlineStr">
        <is>
          <t>ECB — Questions</t>
        </is>
      </c>
    </row>
    <row r="2" ht="15" customHeight="1" s="17">
      <c r="A2" s="43" t="inlineStr">
        <is>
          <t>The real ECB tree. Both LBO scenarios run through these same rows in a different ORDER, which is why several branches test Q01. Rows are written breadth-first; screen order comes from the Branches.</t>
        </is>
      </c>
    </row>
    <row r="3" ht="15" customHeight="1" s="17">
      <c r="A3" s="36" t="inlineStr">
        <is>
          <t>Question Key</t>
        </is>
      </c>
      <c r="B3" s="36" t="inlineStr">
        <is>
          <t>Type</t>
        </is>
      </c>
      <c r="C3" s="36" t="inlineStr">
        <is>
          <t>Mandatory</t>
        </is>
      </c>
      <c r="D3" s="36" t="inlineStr">
        <is>
          <t>Computed</t>
        </is>
      </c>
      <c r="E3" s="36" t="inlineStr">
        <is>
          <t>Editable</t>
        </is>
      </c>
      <c r="F3" s="36" t="inlineStr">
        <is>
          <t>Derived From</t>
        </is>
      </c>
      <c r="G3" s="40" t="inlineStr">
        <is>
          <t>Value Rules</t>
        </is>
      </c>
      <c r="H3" s="40" t="inlineStr">
        <is>
          <t>Prefill From</t>
        </is>
      </c>
      <c r="I3" s="36" t="inlineStr">
        <is>
          <t>Label EN</t>
        </is>
      </c>
      <c r="J3" s="36" t="inlineStr">
        <is>
          <t>Bullets EN</t>
        </is>
      </c>
      <c r="K3" s="36" t="inlineStr">
        <is>
          <t>Label FR</t>
        </is>
      </c>
      <c r="L3" s="36" t="inlineStr">
        <is>
          <t>Bullets FR</t>
        </is>
      </c>
      <c r="M3" s="36" t="inlineStr">
        <is>
          <t>Subtitle EN</t>
        </is>
      </c>
      <c r="N3" s="36" t="inlineStr">
        <is>
          <t>Subtitle FR</t>
        </is>
      </c>
      <c r="O3" s="36" t="inlineStr">
        <is>
          <t>Note EN</t>
        </is>
      </c>
      <c r="P3" s="36" t="inlineStr">
        <is>
          <t>Note FR</t>
        </is>
      </c>
      <c r="Q3" s="40" t="inlineStr">
        <is>
          <t>Note Bullets EN</t>
        </is>
      </c>
      <c r="R3" s="40" t="inlineStr">
        <is>
          <t>Note Bullets FR</t>
        </is>
      </c>
      <c r="S3" s="36" t="inlineStr">
        <is>
          <t>Options</t>
        </is>
      </c>
      <c r="T3" s="36" t="inlineStr">
        <is>
          <t>Items</t>
        </is>
      </c>
      <c r="U3" s="36" t="inlineStr">
        <is>
          <t>Branches</t>
        </is>
      </c>
      <c r="V3" s="40" t="inlineStr">
        <is>
          <t>Fills Flag</t>
        </is>
      </c>
    </row>
    <row r="4" ht="80" customHeight="1" s="17">
      <c r="A4" s="33" t="inlineStr">
        <is>
          <t>Q01</t>
        </is>
      </c>
      <c r="B4" s="33" t="inlineStr">
        <is>
          <t>SINGLE_CHOICE</t>
        </is>
      </c>
      <c r="C4" s="33" t="inlineStr">
        <is>
          <t>Yes</t>
        </is>
      </c>
      <c r="D4" s="33" t="inlineStr">
        <is>
          <t>No</t>
        </is>
      </c>
      <c r="E4" s="33" t="inlineStr">
        <is>
          <t>Yes</t>
        </is>
      </c>
      <c r="F4" s="33" t="n"/>
      <c r="G4" s="33" t="n"/>
      <c r="H4" s="33" t="inlineStr">
        <is>
          <t>FED/Q01</t>
        </is>
      </c>
      <c r="I4" s="33" t="inlineStr">
        <is>
          <t>Is the cumulative ultimate equity detention by Financial Sponsors above 40%?</t>
        </is>
      </c>
      <c r="J4" s="33" t="n"/>
      <c r="K4" s="33" t="inlineStr">
        <is>
          <t>La détention ultime cumulée en capital par des sponsors financiers est-elle supérieure à 40 % ?</t>
        </is>
      </c>
      <c r="L4" s="33" t="n"/>
      <c r="M4" s="33" t="inlineStr">
        <is>
          <t>The LBO question. Copied from the FED form when answered there. Its answer decides which borrower checklist is used and the order of every block below.</t>
        </is>
      </c>
      <c r="N4" s="33" t="inlineStr">
        <is>
          <t>The LBO question. Copied from the FED form when answered there. Its answer becomes the LBO flag and decides which borrower checklist is used and the order of every block below.</t>
        </is>
      </c>
      <c r="O4" s="33" t="n"/>
      <c r="P4" s="33" t="n"/>
      <c r="Q4" s="29" t="n"/>
      <c r="R4" s="29" t="n"/>
      <c r="S4" s="33" t="inlineStr">
        <is>
          <t>YES|Yes|Oui ; NO|No|Non</t>
        </is>
      </c>
      <c r="T4" s="33" t="n"/>
      <c r="U4" s="33" t="inlineStr">
        <is>
          <t>YES -&gt; Q-B01A
NO -&gt; Q-B01B</t>
        </is>
      </c>
      <c r="V4" s="33" t="inlineStr">
        <is>
          <t>ecbLboFlag</t>
        </is>
      </c>
    </row>
    <row r="5" ht="80" customHeight="1" s="17">
      <c r="A5" s="33" t="inlineStr">
        <is>
          <t>Q-B01A</t>
        </is>
      </c>
      <c r="B5" s="33" t="inlineStr">
        <is>
          <t>CHECKLIST</t>
        </is>
      </c>
      <c r="C5" s="33" t="inlineStr">
        <is>
          <t>Yes</t>
        </is>
      </c>
      <c r="D5" s="33" t="inlineStr">
        <is>
          <t>No</t>
        </is>
      </c>
      <c r="E5" s="33" t="inlineStr">
        <is>
          <t>Yes</t>
        </is>
      </c>
      <c r="F5" s="33" t="n"/>
      <c r="G5" s="33" t="n"/>
      <c r="H5" s="33" t="n"/>
      <c r="I5" s="33" t="inlineStr">
        <is>
          <t>Does the Borrower meet one of the below exclusion criteria?</t>
        </is>
      </c>
      <c r="J5" s="33" t="n"/>
      <c r="K5" s="33" t="inlineStr">
        <is>
          <t>L'emprunteur répond-il à l'un des critères d'exclusion ci-après ?</t>
        </is>
      </c>
      <c r="L5" s="33" t="n"/>
      <c r="M5" s="33" t="inlineStr">
        <is>
          <t>LBO scenario (Q01 = Yes). The SME criterion is not shown on this path.</t>
        </is>
      </c>
      <c r="N5" s="33" t="inlineStr">
        <is>
          <t>(à fournir)</t>
        </is>
      </c>
      <c r="O5" s="33" t="n"/>
      <c r="P5" s="33" t="n"/>
      <c r="Q5" s="29" t="n"/>
      <c r="R5" s="29" t="n"/>
      <c r="S5" s="33" t="n"/>
      <c r="T5" s="33" t="inlineStr">
        <is>
          <t>sovereign|Sovereign or Public Sector Entities|Souverain ou Entité du Secteur Public ; financialSector|Financial sector entities|Entités du secteur financier ; investmentGrade|Investment Grade Borrower|Emprunteur Investment Grade</t>
        </is>
      </c>
      <c r="U5" s="33" t="inlineStr">
        <is>
          <t>ANY_YES -&gt; END, flags: ecbLeveragedFlag=ECB_NOT_LEVERAGED
ALL_NO -&gt; Q-T01</t>
        </is>
      </c>
      <c r="V5" s="33" t="n"/>
    </row>
    <row r="6" ht="80" customHeight="1" s="17">
      <c r="A6" s="33" t="inlineStr">
        <is>
          <t>Q-B01B</t>
        </is>
      </c>
      <c r="B6" s="33" t="inlineStr">
        <is>
          <t>CHECKLIST</t>
        </is>
      </c>
      <c r="C6" s="33" t="inlineStr">
        <is>
          <t>Yes</t>
        </is>
      </c>
      <c r="D6" s="33" t="inlineStr">
        <is>
          <t>No</t>
        </is>
      </c>
      <c r="E6" s="33" t="inlineStr">
        <is>
          <t>Yes</t>
        </is>
      </c>
      <c r="F6" s="33" t="n"/>
      <c r="G6" s="33" t="n"/>
      <c r="H6" s="33" t="n"/>
      <c r="I6" s="33" t="inlineStr">
        <is>
          <t>Does the Borrower meet one of the below exclusion criteria?</t>
        </is>
      </c>
      <c r="J6" s="33" t="n"/>
      <c r="K6" s="33" t="inlineStr">
        <is>
          <t>L'emprunteur répond-il à l'un des critères d'exclusion ci-après ?</t>
        </is>
      </c>
      <c r="L6" s="33" t="n"/>
      <c r="M6" s="33" t="inlineStr">
        <is>
          <t>Non-LBO scenario (Q01 = No). Same criteria plus SME.</t>
        </is>
      </c>
      <c r="N6" s="33" t="inlineStr">
        <is>
          <t>(à fournir)</t>
        </is>
      </c>
      <c r="O6" s="33" t="n"/>
      <c r="P6" s="33" t="n"/>
      <c r="Q6" s="29" t="n"/>
      <c r="R6" s="29" t="n"/>
      <c r="S6" s="33" t="n"/>
      <c r="T6" s="33" t="inlineStr">
        <is>
          <t>sme|SME (group with a consolidated turnover &lt; 50M€)|PME (groupe avec un chiffre d'affaires consolidé &lt; 50M€) ; sovereign|Sovereign or Public Sector Entities|Souverain ou Entité du Secteur Public ; financialSector|Financial sector entities|Entités du secteur financier ; investmentGrade|Investment Grade Borrower|Emprunteur Investment Grade</t>
        </is>
      </c>
      <c r="U6" s="33" t="inlineStr">
        <is>
          <t>ANY_YES -&gt; END, flags: ecbLeveragedFlag=ECB_NOT_LEVERAGED
ALL_NO -&gt; Q-S01</t>
        </is>
      </c>
      <c r="V6" s="33" t="n"/>
    </row>
    <row r="7" ht="150" customHeight="1" s="17">
      <c r="A7" s="33" t="inlineStr">
        <is>
          <t>Q-T01</t>
        </is>
      </c>
      <c r="B7" s="33" t="inlineStr">
        <is>
          <t>CHECKLIST</t>
        </is>
      </c>
      <c r="C7" s="33" t="inlineStr">
        <is>
          <t>Yes</t>
        </is>
      </c>
      <c r="D7" s="33" t="inlineStr">
        <is>
          <t>No</t>
        </is>
      </c>
      <c r="E7" s="33" t="inlineStr">
        <is>
          <t>Yes</t>
        </is>
      </c>
      <c r="F7" s="33" t="n"/>
      <c r="G7" s="33" t="n"/>
      <c r="H7" s="33" t="n"/>
      <c r="I7" s="33" t="inlineStr">
        <is>
          <t>Does the transaction meet one of the below exclusion criteria?</t>
        </is>
      </c>
      <c r="J7" s="33" t="n"/>
      <c r="K7" s="33" t="inlineStr">
        <is>
          <t>L'opération répond-elle à l'un des critères d'exclusion ci-après ?</t>
        </is>
      </c>
      <c r="L7" s="33" t="n"/>
      <c r="M7" s="33" t="inlineStr">
        <is>
          <t>The Q01 test MUST come before ALL_NO: ALL_NO is true on both paths, so if it were first it would swallow the non-LBO route to Q-T02.</t>
        </is>
      </c>
      <c r="N7" s="33" t="inlineStr">
        <is>
          <t>(à fournir)</t>
        </is>
      </c>
      <c r="O7" s="33" t="inlineStr">
        <is>
          <t>In case of Annual Review of an already ECB Leveraged counterparty, please answer "No" to all the questions below related to transaction exclusion.</t>
        </is>
      </c>
      <c r="P7" s="33" t="inlineStr">
        <is>
          <t>En cas de revue annuelle d'une contrepartie déjà « leveragée » BCE, répondre « non » à toutes les questions ci-dessous relatives à l'exclusion des transactions.</t>
        </is>
      </c>
      <c r="Q7" s="29" t="n"/>
      <c r="R7" s="29" t="n"/>
      <c r="S7" s="33" t="n"/>
      <c r="T7" s="33" t="inlineStr">
        <is>
          <t>tradeFinance|Trade Finance|Trade Finance ; specialisedLending|Specialised Lending|Financements spécialisés ; bondsHybrid|Bonds and hybrid debts|Obligations et dettes hybrides ; derivatives|Derivatives instruments|Dérivés ; factoring|Factoring|Affacturage ; lease|Finance Lease or Operating Lease|Crédit bail ou location financière ; exportFinanceEca|Export Finance when transactions are covered by public insurance (ECA)|Financement export couvert par une agence publique de crédit à l'exportation (ECA) ; subordinatedDebt|Subordinated debts equivalent to quasi equity|Dettes subordonnées équivalentes à des quasi fonds propres ; marginLoans|Margin Loans|Margin Loans ; groupExposure|Is the consolidated Group exposure after deduction of all exceptions mentioned above &lt; 5M€?|L'exposition BNPP consolidée sur le groupe, après déduction de toutes les exclusions mentionnées ci-dessus, est-elle &lt; 5M€ ?</t>
        </is>
      </c>
      <c r="U7" s="33" t="inlineStr">
        <is>
          <t>ANY_YES -&gt; END, flags: ecbLeveragedFlag=INR
Q01 is NO -&gt; Q-T02
ALL_NO -&gt; Q-C01</t>
        </is>
      </c>
      <c r="V7" s="33" t="n"/>
    </row>
    <row r="8" ht="96" customHeight="1" s="17">
      <c r="A8" s="33" t="inlineStr">
        <is>
          <t>Q-T02</t>
        </is>
      </c>
      <c r="B8" s="33" t="inlineStr">
        <is>
          <t>SINGLE_CHOICE</t>
        </is>
      </c>
      <c r="C8" s="33" t="inlineStr">
        <is>
          <t>Yes</t>
        </is>
      </c>
      <c r="D8" s="33" t="inlineStr">
        <is>
          <t>No</t>
        </is>
      </c>
      <c r="E8" s="33" t="inlineStr">
        <is>
          <t>Yes</t>
        </is>
      </c>
      <c r="F8" s="33" t="n"/>
      <c r="G8" s="33" t="n"/>
      <c r="H8" s="33" t="n"/>
      <c r="I8" s="33" t="inlineStr">
        <is>
          <t>Is the amount of the transaction below 2.5M€ and within TGA (Total Group Authorizations), or below 2.5M€ and within 10% SAF (Sum of Approved Facilities)?</t>
        </is>
      </c>
      <c r="J8" s="33" t="n"/>
      <c r="K8" s="33" t="inlineStr">
        <is>
          <t>Le montant de l'opération de financement est-il inférieur à 2.5M€ et compris dans l'enveloppe du TGA, ou, à défaut de TGA, inférieur à 2.5M€ et représente-t-il moins de 10 % de la somme des autorisations actuelles du Groupe d'Affaires ?</t>
        </is>
      </c>
      <c r="L8" s="33" t="n"/>
      <c r="M8" s="33" t="inlineStr">
        <is>
          <t>Non-LBO scenario only — reached solely from Q-T01 when Q01 = No.</t>
        </is>
      </c>
      <c r="N8" s="33" t="inlineStr">
        <is>
          <t>(à fournir)</t>
        </is>
      </c>
      <c r="O8" s="33" t="n"/>
      <c r="P8" s="33" t="n"/>
      <c r="Q8" s="29" t="n"/>
      <c r="R8" s="29" t="n"/>
      <c r="S8" s="33" t="inlineStr">
        <is>
          <t>YES|Yes|Oui ; NO|No|Non</t>
        </is>
      </c>
      <c r="T8" s="33" t="n"/>
      <c r="U8" s="33" t="inlineStr">
        <is>
          <t>YES -&gt; Q-T03
NO -&gt; Q-C01</t>
        </is>
      </c>
      <c r="V8" s="33" t="n"/>
    </row>
    <row r="9" ht="72" customHeight="1" s="17">
      <c r="A9" s="33" t="inlineStr">
        <is>
          <t>Q-T03</t>
        </is>
      </c>
      <c r="B9" s="33" t="inlineStr">
        <is>
          <t>SINGLE_CHOICE</t>
        </is>
      </c>
      <c r="C9" s="33" t="inlineStr">
        <is>
          <t>Yes</t>
        </is>
      </c>
      <c r="D9" s="33" t="inlineStr">
        <is>
          <t>No</t>
        </is>
      </c>
      <c r="E9" s="33" t="inlineStr">
        <is>
          <t>Yes</t>
        </is>
      </c>
      <c r="F9" s="33" t="n"/>
      <c r="G9" s="33" t="n"/>
      <c r="H9" s="33" t="n"/>
      <c r="I9" s="33" t="inlineStr">
        <is>
          <t>Is the counterparty downgraded to Non-Investment Grade at the time of the credit request?</t>
        </is>
      </c>
      <c r="J9" s="33" t="n"/>
      <c r="K9" s="33" t="inlineStr">
        <is>
          <t>La contrepartie est-elle dégradée en Non-Investment Grade au moment de la demande de crédit ?</t>
        </is>
      </c>
      <c r="L9" s="33" t="n"/>
      <c r="M9" s="33" t="n"/>
      <c r="N9" s="33" t="n"/>
      <c r="O9" s="33" t="n"/>
      <c r="P9" s="33" t="n"/>
      <c r="Q9" s="29" t="n"/>
      <c r="R9" s="29" t="n"/>
      <c r="S9" s="33" t="inlineStr">
        <is>
          <t>YES|Yes|Oui ; NO|No|Non</t>
        </is>
      </c>
      <c r="T9" s="33" t="n"/>
      <c r="U9" s="33" t="inlineStr">
        <is>
          <t>YES -&gt; Q-C01
NO -&gt; END, flags: ecbLeveragedFlag=INR</t>
        </is>
      </c>
      <c r="V9" s="33" t="n"/>
    </row>
    <row r="10" ht="88" customHeight="1" s="17">
      <c r="A10" s="33" t="inlineStr">
        <is>
          <t>Q-C01</t>
        </is>
      </c>
      <c r="B10" s="33" t="inlineStr">
        <is>
          <t>SINGLE_CHOICE</t>
        </is>
      </c>
      <c r="C10" s="33" t="inlineStr">
        <is>
          <t>Yes</t>
        </is>
      </c>
      <c r="D10" s="33" t="inlineStr">
        <is>
          <t>No</t>
        </is>
      </c>
      <c r="E10" s="33" t="inlineStr">
        <is>
          <t>Yes</t>
        </is>
      </c>
      <c r="F10" s="33" t="n"/>
      <c r="G10" s="33" t="n"/>
      <c r="H10" s="33" t="n"/>
      <c r="I10" s="33" t="inlineStr">
        <is>
          <t>Does the credit proposal include a Credit Event or is it an Annual Review of an already ECB leveraged counterparty?</t>
        </is>
      </c>
      <c r="J10" s="33" t="n"/>
      <c r="K10" s="33" t="inlineStr">
        <is>
          <t>La proposition de crédit inclut-elle un évènement de crédit ou est-ce une revue annuelle sans évènement de crédit d'une contrepartie déjà « leveragée » BCE ?</t>
        </is>
      </c>
      <c r="L10" s="33" t="n"/>
      <c r="M10" s="33" t="n"/>
      <c r="N10" s="33" t="n"/>
      <c r="O10" s="33" t="n"/>
      <c r="P10" s="33" t="n"/>
      <c r="Q10" s="29" t="n"/>
      <c r="R10" s="29" t="n"/>
      <c r="S10" s="33" t="inlineStr">
        <is>
          <t>YES|Yes|Oui ; NO|No|Non</t>
        </is>
      </c>
      <c r="T10" s="33" t="n"/>
      <c r="U10" s="33" t="inlineStr">
        <is>
          <t>YES -&gt; Q-C02
NO -&gt; END, flags: ecbLeveragedFlag=INR</t>
        </is>
      </c>
      <c r="V10" s="33" t="n"/>
    </row>
    <row r="11" ht="104" customHeight="1" s="17">
      <c r="A11" s="33" t="inlineStr">
        <is>
          <t>Q-C02</t>
        </is>
      </c>
      <c r="B11" s="33" t="inlineStr">
        <is>
          <t>SINGLE_CHOICE</t>
        </is>
      </c>
      <c r="C11" s="33" t="inlineStr">
        <is>
          <t>Yes</t>
        </is>
      </c>
      <c r="D11" s="33" t="inlineStr">
        <is>
          <t>No</t>
        </is>
      </c>
      <c r="E11" s="33" t="inlineStr">
        <is>
          <t>Yes</t>
        </is>
      </c>
      <c r="F11" s="33" t="n"/>
      <c r="G11" s="33" t="n"/>
      <c r="H11" s="33" t="n"/>
      <c r="I11" s="33" t="inlineStr">
        <is>
          <t>Specify the event:</t>
        </is>
      </c>
      <c r="J11" s="33" t="n"/>
      <c r="K11" s="33" t="inlineStr">
        <is>
          <t>Précisez l'Evènement :</t>
        </is>
      </c>
      <c r="L11" s="33" t="n"/>
      <c r="M11" s="33" t="inlineStr">
        <is>
          <t>LBO scenario goes on to the Status block; non-LBO has already done it and goes to the financials.</t>
        </is>
      </c>
      <c r="N11" s="33" t="inlineStr">
        <is>
          <t>(à fournir)</t>
        </is>
      </c>
      <c r="O11" s="33" t="n"/>
      <c r="P11" s="33" t="n"/>
      <c r="Q11" s="29" t="n"/>
      <c r="R11" s="29" t="n"/>
      <c r="S11" s="33" t="inlineStr">
        <is>
          <t>ORIGINATION|Origination|Origination ; MATERIAL_MODIFICATION|Material modification|Modification significative ; REFINANCING|Refinancing|Refinancement ; ANNUAL_REVIEW_NO_CREDIT_EVENT|Annual Review without credit event of an already ECB leveraged counterparty|Revue annuelle sans évènement de crédit d'une contrepartie déjà « leveragée » BCE</t>
        </is>
      </c>
      <c r="T11" s="33" t="n"/>
      <c r="U11" s="33" t="inlineStr">
        <is>
          <t>Q01 is YES -&gt; Q-S01
* -&gt; Q-F01</t>
        </is>
      </c>
      <c r="V11" s="33" t="n"/>
    </row>
    <row r="12" ht="56" customHeight="1" s="17">
      <c r="A12" s="33" t="inlineStr">
        <is>
          <t>Q-S01</t>
        </is>
      </c>
      <c r="B12" s="33" t="inlineStr">
        <is>
          <t>SINGLE_CHOICE</t>
        </is>
      </c>
      <c r="C12" s="33" t="inlineStr">
        <is>
          <t>Yes</t>
        </is>
      </c>
      <c r="D12" s="33" t="inlineStr">
        <is>
          <t>No</t>
        </is>
      </c>
      <c r="E12" s="33" t="inlineStr">
        <is>
          <t>Yes</t>
        </is>
      </c>
      <c r="F12" s="33" t="n"/>
      <c r="G12" s="33" t="n"/>
      <c r="H12" s="33" t="n"/>
      <c r="I12" s="33" t="inlineStr">
        <is>
          <t>Status of the counterparty: Ultimate Mother Company or Subsidiary?</t>
        </is>
      </c>
      <c r="J12" s="33" t="n"/>
      <c r="K12" s="33" t="inlineStr">
        <is>
          <t>Statut de la contrepartie : Société mère ultime ou filiale ?</t>
        </is>
      </c>
      <c r="L12" s="33" t="n"/>
      <c r="M12" s="33" t="n"/>
      <c r="N12" s="33" t="n"/>
      <c r="O12" s="33" t="n"/>
      <c r="P12" s="33" t="n"/>
      <c r="Q12" s="29" t="n"/>
      <c r="R12" s="29" t="n"/>
      <c r="S12" s="33" t="inlineStr">
        <is>
          <t>UMC|Ultimate Mother Company|Société mère ultime ; SUBSIDIARY|Subsidiary|Filiale</t>
        </is>
      </c>
      <c r="T12" s="33" t="n"/>
      <c r="U12" s="33" t="inlineStr">
        <is>
          <t>UMC -&gt; Q-S04
SUBSIDIARY -&gt; Q-S02</t>
        </is>
      </c>
      <c r="V12" s="33" t="n"/>
    </row>
    <row r="13" ht="190" customHeight="1" s="17">
      <c r="A13" s="33" t="inlineStr">
        <is>
          <t>Q-S02</t>
        </is>
      </c>
      <c r="B13" s="33" t="inlineStr">
        <is>
          <t>SINGLE_CHOICE</t>
        </is>
      </c>
      <c r="C13" s="33" t="inlineStr">
        <is>
          <t>Yes</t>
        </is>
      </c>
      <c r="D13" s="33" t="inlineStr">
        <is>
          <t>No</t>
        </is>
      </c>
      <c r="E13" s="33" t="inlineStr">
        <is>
          <t>Yes</t>
        </is>
      </c>
      <c r="F13" s="33" t="n"/>
      <c r="G13" s="33" t="n"/>
      <c r="H13" s="33" t="n"/>
      <c r="I13" s="33" t="inlineStr">
        <is>
          <t>Is there a supporting entity (mother company or another legal entity) as per the Support Entity definition provided in the applicable rating policies?</t>
        </is>
      </c>
      <c r="J13" s="33" t="n"/>
      <c r="K13" s="33" t="inlineStr">
        <is>
          <t>Existe-t-il une entité de soutien (société mère ou autre entité juridique) au sens de la définition d'Entité de Soutien des politiques de notation applicables ?</t>
        </is>
      </c>
      <c r="L13" s="33" t="n"/>
      <c r="M13" s="33" t="n"/>
      <c r="N13" s="33" t="n"/>
      <c r="O13" s="33" t="inlineStr">
        <is>
          <t>To qualify as a Support Entity, an obligor must meet the conditions below:</t>
        </is>
      </c>
      <c r="P13" s="33" t="inlineStr">
        <is>
          <t>Pour être qualifié comme une entité support, un débiteur doit remplir les conditions suivantes ci-dessous :</t>
        </is>
      </c>
      <c r="Q13" s="29" t="inlineStr">
        <is>
          <t>- Be rated with the Corporate or the Sovereign model
- Be a direct or indirect shareholder, usually with a minority blocking vote. The Sovereign may be called Support Entity up to 2 levels upwards in the organisational chart. Cases where the Support entity has no shareholding link with the obligor would remain exceptional and require strong economic links and a proper justification.
- Bear a valid and less than 12 months old rating
- Be considered to have an incentive to avoid the counterparty default. This incentive would derive from:
-- The strategic importance of the subsidiary for the Support Entity (by its activity, its locations, its contribution to the consolidated turnover and results, its association to the Group brand)
-- The contribution of the Support Entity in the funding of the obligor, and the evidence that the Support Entity has been willing in the past to increase this funding, or provide other form of support, when needed by subsidiaries.</t>
        </is>
      </c>
      <c r="R13" s="29" t="inlineStr">
        <is>
          <t>- Etre noté avec le modèle Corporate ou souverain
- Être actionnaire direct ou indirect, généralement avec un vote de blocage minoritaire. Le Souverain peut être appelé Entité support jusqu'à 2 niveaux à la hausse dans l'organigramme. Les cas où l'entité support n'a pas de lien de participation avec le débiteur obligataire resteraient exceptionnels et nécessiteraient des liens économiques étroits et une justification appropriée.
- Avoir une note valide de moins de 12 mois
- Être considéré comme ayant une incitation à éviter le défaut de la contrepartie. Cette incitation découlerait de :
-- L'importance stratégique de la filiale pour l'Entité support (par son activité, ses implantations, sa contribution au chiffre d'affaires consolidé et aux résultats, son association à la marque du Groupe)
-- La contribution de l'Entité de soutien au financement du débiteur obligataire et la preuve que l'Entité de soutien a été disposée par le passé à augmenter ce financement, ou à fournir une autre forme de soutien, au besoin par les filiales.</t>
        </is>
      </c>
      <c r="S13" s="33" t="inlineStr">
        <is>
          <t>YES|Yes|Oui ; NO|No|Non</t>
        </is>
      </c>
      <c r="T13" s="33" t="n"/>
      <c r="U13" s="33" t="inlineStr">
        <is>
          <t>YES -&gt; Q-S03
NO -&gt; Q-S04</t>
        </is>
      </c>
      <c r="V13" s="33" t="n"/>
    </row>
    <row r="14" ht="60" customHeight="1" s="17">
      <c r="A14" s="33" t="inlineStr">
        <is>
          <t>Q-S03</t>
        </is>
      </c>
      <c r="B14" s="33" t="inlineStr">
        <is>
          <t>SINGLE_CHOICE</t>
        </is>
      </c>
      <c r="C14" s="33" t="inlineStr">
        <is>
          <t>Yes</t>
        </is>
      </c>
      <c r="D14" s="33" t="inlineStr">
        <is>
          <t>No</t>
        </is>
      </c>
      <c r="E14" s="33" t="inlineStr">
        <is>
          <t>Yes</t>
        </is>
      </c>
      <c r="F14" s="33" t="n"/>
      <c r="G14" s="33" t="n"/>
      <c r="H14" s="33" t="n"/>
      <c r="I14" s="33" t="inlineStr">
        <is>
          <t>Is this supporting entity Investment Grade?</t>
        </is>
      </c>
      <c r="J14" s="33" t="n"/>
      <c r="K14" s="33" t="inlineStr">
        <is>
          <t>Cette entité de soutien est-elle Investment Grade ?</t>
        </is>
      </c>
      <c r="L14" s="33" t="n"/>
      <c r="M14" s="33" t="inlineStr">
        <is>
          <t>Both answers continue to Q-S04; what differs is what happens after it.</t>
        </is>
      </c>
      <c r="N14" s="33" t="inlineStr">
        <is>
          <t>(à fournir)</t>
        </is>
      </c>
      <c r="O14" s="33" t="n"/>
      <c r="P14" s="33" t="n"/>
      <c r="Q14" s="29" t="n"/>
      <c r="R14" s="29" t="n"/>
      <c r="S14" s="33" t="inlineStr">
        <is>
          <t>YES|Yes|Oui ; NO|No|Non</t>
        </is>
      </c>
      <c r="T14" s="33" t="n"/>
      <c r="U14" s="33" t="inlineStr">
        <is>
          <t>* -&gt; Q-S04</t>
        </is>
      </c>
      <c r="V14" s="33" t="n"/>
    </row>
    <row r="15" ht="124" customHeight="1" s="17">
      <c r="A15" s="33" t="inlineStr">
        <is>
          <t>Q-S04</t>
        </is>
      </c>
      <c r="B15" s="33" t="inlineStr">
        <is>
          <t>COMPUTED</t>
        </is>
      </c>
      <c r="C15" s="33" t="inlineStr">
        <is>
          <t>No</t>
        </is>
      </c>
      <c r="D15" s="33" t="inlineStr">
        <is>
          <t>Yes</t>
        </is>
      </c>
      <c r="E15" s="33" t="inlineStr">
        <is>
          <t>No</t>
        </is>
      </c>
      <c r="F15" s="33" t="n"/>
      <c r="G15" s="33" t="inlineStr">
        <is>
          <t>Q-S01 is UMC -&gt; BUSINESS_GROUP
Q-S02 is NO -&gt; BORROWER
Q-S03 is YES -&gt; BORROWER
Q-S03 is NO -&gt; BUSINESS_GROUP</t>
        </is>
      </c>
      <c r="H15" s="33" t="n"/>
      <c r="I15" s="33" t="inlineStr">
        <is>
          <t>Level of leveraged calculation</t>
        </is>
      </c>
      <c r="J15" s="33" t="n"/>
      <c r="K15" s="33" t="inlineStr">
        <is>
          <t>Niveau de calcul du levier BCE</t>
        </is>
      </c>
      <c r="L15" s="33" t="n"/>
      <c r="M15" s="33" t="inlineStr">
        <is>
          <t>Filled by the system. Its own value cannot decide the route (Borrower Level occurs on both a terminal and a continuing path), so the Branches test HOW it was reached.</t>
        </is>
      </c>
      <c r="N15" s="33" t="inlineStr">
        <is>
          <t>(à fournir)</t>
        </is>
      </c>
      <c r="O15" s="33" t="n"/>
      <c r="P15" s="33" t="n"/>
      <c r="Q15" s="29" t="n"/>
      <c r="R15" s="29" t="n"/>
      <c r="S15" s="33" t="inlineStr">
        <is>
          <t>BUSINESS_GROUP|Business Group Level|Niveau du Groupe d'Affaires ; BORROWER|Borrower Level|Niveau de l'emprunteur</t>
        </is>
      </c>
      <c r="T15" s="33" t="n"/>
      <c r="U15" s="33" t="inlineStr">
        <is>
          <t>Q-S03 is YES -&gt; END, flags: ecbLeveragedFlag=ECB_NOT_LEVERAGED
Q-S03 is NO -&gt; Q-S05
Q01 is YES -&gt; Q-F01
* -&gt; Q-T01</t>
        </is>
      </c>
      <c r="V15" s="33" t="n"/>
    </row>
    <row r="16" ht="76" customHeight="1" s="17">
      <c r="A16" s="33" t="inlineStr">
        <is>
          <t>Q-S05</t>
        </is>
      </c>
      <c r="B16" s="33" t="inlineStr">
        <is>
          <t>COMPUTED</t>
        </is>
      </c>
      <c r="C16" s="33" t="inlineStr">
        <is>
          <t>No</t>
        </is>
      </c>
      <c r="D16" s="33" t="inlineStr">
        <is>
          <t>Yes</t>
        </is>
      </c>
      <c r="E16" s="33" t="inlineStr">
        <is>
          <t>No</t>
        </is>
      </c>
      <c r="F16" s="33" t="inlineStr">
        <is>
          <t>COUNTERPARTY/PARENT</t>
        </is>
      </c>
      <c r="G16" s="33" t="n"/>
      <c r="H16" s="33" t="n"/>
      <c r="I16" s="33" t="inlineStr">
        <is>
          <t>Parent Company</t>
        </is>
      </c>
      <c r="J16" s="33" t="n"/>
      <c r="K16" s="33" t="inlineStr">
        <is>
          <t>Société mère</t>
        </is>
      </c>
      <c r="L16" s="33" t="n"/>
      <c r="M16" s="33" t="inlineStr">
        <is>
          <t>Read-only. The system follows the analysed counterparty's parent_rmpmid in counterparty_characteristics and shows that parent's RMPM ID and name.</t>
        </is>
      </c>
      <c r="N16" s="33" t="inlineStr">
        <is>
          <t>(à fournir)</t>
        </is>
      </c>
      <c r="O16" s="33" t="n"/>
      <c r="P16" s="33" t="n"/>
      <c r="Q16" s="29" t="n"/>
      <c r="R16" s="29" t="n"/>
      <c r="S16" s="33" t="n"/>
      <c r="T16" s="33" t="n"/>
      <c r="U16" s="33" t="inlineStr">
        <is>
          <t>* -&gt; Q-S06</t>
        </is>
      </c>
      <c r="V16" s="33" t="n"/>
    </row>
    <row r="17" ht="110" customHeight="1" s="17">
      <c r="A17" s="33" t="inlineStr">
        <is>
          <t>Q-S06</t>
        </is>
      </c>
      <c r="B17" s="33" t="inlineStr">
        <is>
          <t>LOOKUP</t>
        </is>
      </c>
      <c r="C17" s="33" t="inlineStr">
        <is>
          <t>Yes</t>
        </is>
      </c>
      <c r="D17" s="33" t="inlineStr">
        <is>
          <t>No</t>
        </is>
      </c>
      <c r="E17" s="33" t="inlineStr">
        <is>
          <t>Yes</t>
        </is>
      </c>
      <c r="F17" s="33" t="n"/>
      <c r="G17" s="33" t="n"/>
      <c r="H17" s="33" t="inlineStr">
        <is>
          <t>FED/Q-S06</t>
        </is>
      </c>
      <c r="I17" s="33" t="inlineStr">
        <is>
          <t>Counterparty on which the ECB leverage ratio is calculated (ie: Parent company or exceptionally on another Legal Entity)</t>
        </is>
      </c>
      <c r="J17" s="33" t="n"/>
      <c r="K17" s="33" t="inlineStr">
        <is>
          <t>Contrepartie sur laquelle le ratio de levier BCE est calculé (société mère ou exceptionnellement une autre entité juridique)</t>
        </is>
      </c>
      <c r="L17" s="33" t="n"/>
      <c r="M17" s="33" t="inlineStr">
        <is>
          <t>Autocomplete over RMPM counterparties. The three checks (must share the Business Group, must not be the counterparty under analysis, must not be empty) run in code and quote the messages listed for Q-S06 on the Forms tab.</t>
        </is>
      </c>
      <c r="N17" s="33" t="inlineStr">
        <is>
          <t>Autocomplete over RMPM counterparties. The three checks run in code and quote the messages listed for Q-S06 on the Forms tab, in the order they appear there.</t>
        </is>
      </c>
      <c r="O17" s="33" t="inlineStr">
        <is>
          <t>The Support Entity can be chosen within the BG (ie not only the ultimate mother company of the BG, but also another Legal Entity within the BG – such as an intermediary mother company - as long as criteria for Support are in line with the Corporate SRP requirements).</t>
        </is>
      </c>
      <c r="P17" s="33" t="inlineStr">
        <is>
          <t>L'entité support peut être choisie au sein du BG (cela peut être la maison mère du BG, mais également une autre entité légale au sein du BG – une maison mère intermédiaire par exemple – tant que les critères pour le Support sont conformes aux règles définies dans la SRP Corporate).</t>
        </is>
      </c>
      <c r="Q17" s="29" t="n"/>
      <c r="R17" s="29" t="n"/>
      <c r="S17" s="33" t="inlineStr">
        <is>
          <t>LOOKUP/COUNTERPARTY</t>
        </is>
      </c>
      <c r="T17" s="33" t="n"/>
      <c r="U17" s="33" t="inlineStr">
        <is>
          <t>* -&gt; END, flags: ecbLeveragedFlag=CALCULATION_AT_BG_OR_OTHER_LE</t>
        </is>
      </c>
      <c r="V17" s="33" t="n"/>
    </row>
    <row r="18" ht="88" customHeight="1" s="17">
      <c r="A18" s="33" t="inlineStr">
        <is>
          <t>Q-F01</t>
        </is>
      </c>
      <c r="B18" s="33" t="inlineStr">
        <is>
          <t>DATA_ENTRY</t>
        </is>
      </c>
      <c r="C18" s="33" t="inlineStr">
        <is>
          <t>Yes</t>
        </is>
      </c>
      <c r="D18" s="33" t="inlineStr">
        <is>
          <t>No</t>
        </is>
      </c>
      <c r="E18" s="33" t="inlineStr">
        <is>
          <t>Yes</t>
        </is>
      </c>
      <c r="F18" s="33" t="n"/>
      <c r="G18" s="33" t="n"/>
      <c r="H18" s="33" t="n"/>
      <c r="I18" s="33" t="inlineStr">
        <is>
          <t>Financial Data</t>
        </is>
      </c>
      <c r="J18" s="33" t="n"/>
      <c r="K18" s="33" t="inlineStr">
        <is>
          <t>Données financières</t>
        </is>
      </c>
      <c r="L18" s="33" t="n"/>
      <c r="M18" s="33" t="inlineStr">
        <is>
          <t>The boxes are listed on the Fields tab. On save the drivers go to crf-rating-motor; when it replies the computed boxes fill and the form moves on by itself — the analyst does not confirm.</t>
        </is>
      </c>
      <c r="N18" s="33" t="inlineStr">
        <is>
          <t>The boxes are listed on the Fields tab. On save the domain layer computes the derived boxes and the form routes straight away — there is no external call and no waiting state.</t>
        </is>
      </c>
      <c r="O18" s="33" t="n"/>
      <c r="P18" s="33" t="n"/>
      <c r="Q18" s="29" t="n"/>
      <c r="R18" s="29" t="n"/>
      <c r="S18" s="33" t="n"/>
      <c r="T18" s="33" t="n"/>
      <c r="U18" s="33" t="inlineStr">
        <is>
          <t>* -&gt; Q-Q01</t>
        </is>
      </c>
      <c r="V18" s="33" t="n"/>
    </row>
    <row r="19" ht="112" customHeight="1" s="17">
      <c r="A19" s="33" t="inlineStr">
        <is>
          <t>Q-Q01</t>
        </is>
      </c>
      <c r="B19" s="33" t="inlineStr">
        <is>
          <t>COMPUTED</t>
        </is>
      </c>
      <c r="C19" s="33" t="inlineStr">
        <is>
          <t>No</t>
        </is>
      </c>
      <c r="D19" s="33" t="inlineStr">
        <is>
          <t>Yes</t>
        </is>
      </c>
      <c r="E19" s="33" t="inlineStr">
        <is>
          <t>No</t>
        </is>
      </c>
      <c r="F19" s="33" t="n"/>
      <c r="G19" s="33" t="inlineStr">
        <is>
          <t>field ecbLeverageRatio range [0 .. &lt;4] -&gt; NO
field totalEcbDebt &gt; 4 x field adjustedEbitda -&gt; YES
* -&gt; NO</t>
        </is>
      </c>
      <c r="H19" s="33" t="inlineStr">
        <is>
          <t>field ecbLeverageRatio range [0 .. &lt;4] -&gt; NO
field totalEcbDebt &gt; 4 x field adjustedEbitda -&gt; YES
Q01 is YES -&gt; YES
* -&gt; NO</t>
        </is>
      </c>
      <c r="I19" s="33" t="inlineStr">
        <is>
          <t>Is it a leveraged transaction: ECB Leverage Ratio above 4.0x or LBO transaction?</t>
        </is>
      </c>
      <c r="J19" s="33" t="n"/>
      <c r="K19" s="33" t="inlineStr">
        <is>
          <t>(à fournir)</t>
        </is>
      </c>
      <c r="L19" s="33" t="n"/>
      <c r="M19" s="33" t="inlineStr">
        <is>
          <t>Always evaluated, even when the form is about to stop — the BR requires a stored No in that case, which is why the 0-4 line comes first. Hidden on screen when the ratio is 0-4. "or LBO transaction" is the third line: an LBO deal is a leveraged transaction whatever the arithmetic says.</t>
        </is>
      </c>
      <c r="N19" s="33" t="inlineStr">
        <is>
          <t>(à fournir)</t>
        </is>
      </c>
      <c r="O19" s="33" t="n"/>
      <c r="P19" s="33" t="n"/>
      <c r="Q19" s="29" t="n"/>
      <c r="R19" s="29" t="n"/>
      <c r="S19" s="33" t="inlineStr">
        <is>
          <t>YES|Yes|Oui ; NO|No|Non</t>
        </is>
      </c>
      <c r="T19" s="33" t="n"/>
      <c r="U19" s="33" t="inlineStr">
        <is>
          <t>* -&gt; Q-Q02</t>
        </is>
      </c>
      <c r="V19" s="33" t="n"/>
    </row>
    <row r="20" ht="112" customHeight="1" s="17">
      <c r="A20" s="33" t="inlineStr">
        <is>
          <t>Q-Q02</t>
        </is>
      </c>
      <c r="B20" s="33" t="inlineStr">
        <is>
          <t>COMPUTED</t>
        </is>
      </c>
      <c r="C20" s="33" t="inlineStr">
        <is>
          <t>No</t>
        </is>
      </c>
      <c r="D20" s="33" t="inlineStr">
        <is>
          <t>Yes</t>
        </is>
      </c>
      <c r="E20" s="33" t="inlineStr">
        <is>
          <t>No</t>
        </is>
      </c>
      <c r="F20" s="33" t="n"/>
      <c r="G20" s="33" t="inlineStr">
        <is>
          <t>field ecbLeverageRatio range [0 .. &lt;4] -&gt; NO
field totalEcbDebt &gt; 6 x field adjustedEbitda -&gt; YES
field totalEcbDebt range [&lt;0] -&gt; YES
* -&gt; NO</t>
        </is>
      </c>
      <c r="H20" s="33" t="inlineStr">
        <is>
          <t>field ecbLeverageRatio range [0 .. &lt;4] -&gt; NO
field totalEcbDebt &gt; 6 x field adjustedEbitda -&gt; YES
field totalEcbDebt range [&lt;0] -&gt; YES
* -&gt; NO</t>
        </is>
      </c>
      <c r="I20" s="33" t="inlineStr">
        <is>
          <t>Is it a highly leveraged transaction: ECB Leverage Ratio above 6.0x or negative?</t>
        </is>
      </c>
      <c r="J20" s="33" t="n"/>
      <c r="K20" s="33" t="inlineStr">
        <is>
          <t>(à fournir)</t>
        </is>
      </c>
      <c r="L20" s="33" t="n"/>
      <c r="M20" s="33" t="inlineStr">
        <is>
          <t>Same as Q-Q01: always evaluated, hidden when the ratio is 0-4. "Negative" means negative TOTAL ECB DEBT, not a negative ratio. This is where the 0-4 case ends the form.</t>
        </is>
      </c>
      <c r="N20" s="33" t="inlineStr">
        <is>
          <t>(à fournir)</t>
        </is>
      </c>
      <c r="O20" s="33" t="n"/>
      <c r="P20" s="33" t="n"/>
      <c r="Q20" s="29" t="n"/>
      <c r="R20" s="29" t="n"/>
      <c r="S20" s="33" t="inlineStr">
        <is>
          <t>YES|Yes|Oui ; NO|No|Non</t>
        </is>
      </c>
      <c r="T20" s="33" t="n"/>
      <c r="U20" s="33" t="inlineStr">
        <is>
          <t>field ecbLeverageRatio range [0 .. &lt;4] -&gt; END, flags: ecbLeveragedFlag=ECB_NOT_LEVERAGED
* -&gt; Q-Q03</t>
        </is>
      </c>
      <c r="V20" s="33" t="n"/>
    </row>
    <row r="21" ht="124" customHeight="1" s="17">
      <c r="A21" s="33" t="inlineStr">
        <is>
          <t>Q-Q03</t>
        </is>
      </c>
      <c r="B21" s="33" t="inlineStr">
        <is>
          <t>SINGLE_CHOICE</t>
        </is>
      </c>
      <c r="C21" s="33" t="inlineStr">
        <is>
          <t>Yes</t>
        </is>
      </c>
      <c r="D21" s="33" t="inlineStr">
        <is>
          <t>No</t>
        </is>
      </c>
      <c r="E21" s="33" t="inlineStr">
        <is>
          <t>Yes</t>
        </is>
      </c>
      <c r="F21" s="33" t="n"/>
      <c r="G21" s="33" t="n"/>
      <c r="H21" s="33" t="n"/>
      <c r="I21" s="33" t="inlineStr">
        <is>
          <t>Covenant structure of the borrower?</t>
        </is>
      </c>
      <c r="J21" s="33" t="n"/>
      <c r="K21" s="33" t="inlineStr">
        <is>
          <t>Structure des covenants de l'emprunteur ?</t>
        </is>
      </c>
      <c r="L21" s="33" t="n"/>
      <c r="M21" s="33" t="inlineStr">
        <is>
          <t>Fills Flag replaces four near-identical branches: whichever option is chosen becomes the covenant flag. There is no "ECB Highly Leveraged" code — above 6x is ECB_LEVERAGED plus an escalated transaction.</t>
        </is>
      </c>
      <c r="N21" s="33" t="inlineStr">
        <is>
          <t>(à fournir)</t>
        </is>
      </c>
      <c r="O21" s="33" t="inlineStr">
        <is>
          <t>In order to assess the covenant structure of a borrower, the commitment with the most conservative covenants should be considered.</t>
        </is>
      </c>
      <c r="P21" s="33" t="inlineStr">
        <is>
          <t>(à fournir)</t>
        </is>
      </c>
      <c r="Q21" s="29" t="n"/>
      <c r="R21" s="29" t="n"/>
      <c r="S21" s="33" t="inlineStr">
        <is>
          <t>LOOSE|Covenant "Loose"|Covenant « Loose » ; LITE|Covenant "Lite"|Covenant « Lite » ; NONE|No Covenant|Sans covenant ; FULL|Full Covenant|Full Covenant</t>
        </is>
      </c>
      <c r="T21" s="33" t="n"/>
      <c r="U21" s="33" t="inlineStr">
        <is>
          <t>Q-C02 in [ORIGINATION, MATERIAL_MODIFICATION, REFINANCING] AND field ecbLeverageRatio range [&lt;0 | &gt;6] -&gt; Q-Q04
* -&gt; END, flags: ecbLeveragedFlag=ECB_LEVERAGED</t>
        </is>
      </c>
      <c r="V21" s="33" t="inlineStr">
        <is>
          <t>ecbCovenantStructure</t>
        </is>
      </c>
    </row>
    <row r="22" ht="112" customHeight="1" s="17">
      <c r="A22" s="33" t="inlineStr">
        <is>
          <t>Q-Q04</t>
        </is>
      </c>
      <c r="B22" s="33" t="inlineStr">
        <is>
          <t>SINGLE_CHOICE</t>
        </is>
      </c>
      <c r="C22" s="33" t="inlineStr">
        <is>
          <t>Yes</t>
        </is>
      </c>
      <c r="D22" s="33" t="inlineStr">
        <is>
          <t>No</t>
        </is>
      </c>
      <c r="E22" s="33" t="inlineStr">
        <is>
          <t>Yes</t>
        </is>
      </c>
      <c r="F22" s="33" t="n"/>
      <c r="G22" s="33" t="n"/>
      <c r="H22" s="33" t="n"/>
      <c r="I22" s="33" t="inlineStr">
        <is>
          <t>Is the current level of delegation of the file just below the CCDG threshold? (ie: Level 6 for CIB)</t>
        </is>
      </c>
      <c r="J22" s="33" t="n"/>
      <c r="K22" s="33" t="inlineStr">
        <is>
          <t>(à fournir)</t>
        </is>
      </c>
      <c r="L22" s="33" t="n"/>
      <c r="M22" s="33" t="inlineStr">
        <is>
          <t>Shown only for Origination / Material modification / Refinancing when the ratio is negative or above 6.</t>
        </is>
      </c>
      <c r="N22" s="33" t="inlineStr">
        <is>
          <t>(à fournir)</t>
        </is>
      </c>
      <c r="O22" s="33" t="n"/>
      <c r="P22" s="33" t="n"/>
      <c r="Q22" s="29" t="n"/>
      <c r="R22" s="29" t="n"/>
      <c r="S22" s="33" t="inlineStr">
        <is>
          <t>JUST_BELOW_CCDG|Just below CCDG (ie: Level 6 for CIB)|Juste en dessous du CCDG (niveau 6 pour CIB) ; CCDG|CCDG|CCDG ; OTHER_LEVEL|Other level of delegation|Autre niveau de délégation</t>
        </is>
      </c>
      <c r="T22" s="33" t="n"/>
      <c r="U22" s="33" t="inlineStr">
        <is>
          <t>JUST_BELOW_CCDG -&gt; Q-Q05
Q-Q02 is YES -&gt; END, flags: ecbLeveragedFlag=ECB_LEVERAGED; escalatedTransactions=YES
* -&gt; END, flags: ecbLeveragedFlag=ECB_LEVERAGED; escalatedTransactions=NO</t>
        </is>
      </c>
      <c r="V22" s="33" t="n"/>
    </row>
    <row r="23" ht="96" customHeight="1" s="17">
      <c r="A23" s="33" t="inlineStr">
        <is>
          <t>Q-Q05</t>
        </is>
      </c>
      <c r="B23" s="33" t="inlineStr">
        <is>
          <t>SINGLE_CHOICE</t>
        </is>
      </c>
      <c r="C23" s="33" t="inlineStr">
        <is>
          <t>Yes</t>
        </is>
      </c>
      <c r="D23" s="33" t="inlineStr">
        <is>
          <t>No</t>
        </is>
      </c>
      <c r="E23" s="33" t="inlineStr">
        <is>
          <t>Yes</t>
        </is>
      </c>
      <c r="F23" s="33" t="n"/>
      <c r="G23" s="33" t="n"/>
      <c r="H23" s="33" t="n"/>
      <c r="I23" s="33" t="inlineStr">
        <is>
          <t>Is the repayment test breached?</t>
        </is>
      </c>
      <c r="J23" s="33" t="n"/>
      <c r="K23" s="33" t="inlineStr">
        <is>
          <t>Le test de remboursement est-il franchi ?</t>
        </is>
      </c>
      <c r="L23" s="33" t="n"/>
      <c r="M23" s="33" t="n"/>
      <c r="N23" s="33" t="n"/>
      <c r="O23" s="33" t="n"/>
      <c r="P23" s="33" t="n"/>
      <c r="Q23" s="29" t="n"/>
      <c r="R23" s="29" t="n"/>
      <c r="S23" s="33" t="inlineStr">
        <is>
          <t>YES|Yes|Oui ; NO|No|Non</t>
        </is>
      </c>
      <c r="T23" s="33" t="n"/>
      <c r="U23" s="33" t="inlineStr">
        <is>
          <t>YES AND Q-Q02 is YES -&gt; END, flags: ecbLeveragedFlag=ECB_LEVERAGED; escalatedTransactions=YES
* -&gt; END, flags: ecbLeveragedFlag=ECB_LEVERAGED; escalatedTransactions=NO</t>
        </is>
      </c>
      <c r="V23" s="33" t="n"/>
    </row>
  </sheetData>
  <dataValidations count="5">
    <dataValidation sqref="C4:C80" showDropDown="0" showInputMessage="0" showErrorMessage="0" allowBlank="1" type="list" errorStyle="stop" operator="between">
      <formula1>"SINGLE_CHOICE,NUMERIC,TEXT,CHECKLIST,DATA_ENTRY,COMPUTED"</formula1>
      <formula2>0</formula2>
    </dataValidation>
    <dataValidation sqref="D4:D80" showDropDown="0" showInputMessage="0" showErrorMessage="0" allowBlank="1" type="list" errorStyle="stop" operator="between">
      <formula1>"Yes,No"</formula1>
      <formula2>0</formula2>
    </dataValidation>
    <dataValidation sqref="E4:E80" showDropDown="0" showInputMessage="0" showErrorMessage="0" allowBlank="1" type="list" errorStyle="stop" operator="between">
      <formula1>"Yes,No"</formula1>
      <formula2>0</formula2>
    </dataValidation>
    <dataValidation sqref="F4:F80" showDropDown="0" showInputMessage="0" showErrorMessage="0" allowBlank="1" type="list" errorStyle="stop" operator="between">
      <formula1>"Yes,No"</formula1>
      <formula2>0</formula2>
    </dataValidation>
    <dataValidation sqref="G4:G80"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N23"/>
  <sheetViews>
    <sheetView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8" customWidth="1" style="17" min="1" max="1"/>
    <col width="13" customWidth="1" style="17" min="2" max="2"/>
    <col width="20" customWidth="1" style="17" min="3" max="3"/>
    <col width="26" customWidth="1" style="17" min="4" max="4"/>
    <col width="32" customWidth="1" style="17" min="5" max="5"/>
    <col width="24" customWidth="1" style="17" min="6" max="6"/>
    <col width="10" customWidth="1" style="17" min="7" max="7"/>
    <col width="11" customWidth="1" style="17" min="8" max="8"/>
    <col width="10" customWidth="1" style="17" min="9" max="9"/>
    <col width="26" customWidth="1" style="17" min="10" max="10"/>
    <col width="30" customWidth="1" style="17" min="11" max="11"/>
    <col width="24" customWidth="1" style="17" min="12" max="12"/>
    <col width="44" customWidth="1" style="17" min="13" max="13"/>
    <col width="18" customWidth="1" style="17" min="14" max="14"/>
  </cols>
  <sheetData>
    <row r="1">
      <c r="A1" s="44" t="inlineStr">
        <is>
          <t>Fields — one row per box inside a DATA_ENTRY question</t>
        </is>
      </c>
    </row>
    <row r="2">
      <c r="A2" s="45" t="inlineStr">
        <is>
          <t>Row order here is the order the boxes appear on screen. Everything a box must be checked for lives on the Forms tab under Validation Messages, keyed by Field Key.</t>
        </is>
      </c>
    </row>
    <row r="3">
      <c r="A3" s="40" t="inlineStr">
        <is>
          <t>Form</t>
        </is>
      </c>
      <c r="B3" s="40" t="inlineStr">
        <is>
          <t>Question Key</t>
        </is>
      </c>
      <c r="C3" s="40" t="inlineStr">
        <is>
          <t>Group</t>
        </is>
      </c>
      <c r="D3" s="40" t="inlineStr">
        <is>
          <t>Field Key</t>
        </is>
      </c>
      <c r="E3" s="40" t="inlineStr">
        <is>
          <t>Label EN</t>
        </is>
      </c>
      <c r="F3" s="40" t="inlineStr">
        <is>
          <t>Label FR</t>
        </is>
      </c>
      <c r="G3" s="40" t="inlineStr">
        <is>
          <t>Type</t>
        </is>
      </c>
      <c r="H3" s="40" t="inlineStr">
        <is>
          <t>Mandatory</t>
        </is>
      </c>
      <c r="I3" s="40" t="inlineStr">
        <is>
          <t>Editable</t>
        </is>
      </c>
      <c r="J3" s="40" t="inlineStr">
        <is>
          <t>Derived From</t>
        </is>
      </c>
      <c r="K3" s="40" t="inlineStr">
        <is>
          <t>Note EN</t>
        </is>
      </c>
      <c r="L3" s="40" t="inlineStr">
        <is>
          <t>Note FR</t>
        </is>
      </c>
      <c r="M3" s="40" t="inlineStr">
        <is>
          <t>Formula (documentation only)</t>
        </is>
      </c>
      <c r="N3" s="40" t="inlineStr">
        <is>
          <t>Fills Flag</t>
        </is>
      </c>
    </row>
    <row r="4" ht="32" customHeight="1" s="17">
      <c r="A4" s="33" t="inlineStr">
        <is>
          <t>ECB</t>
        </is>
      </c>
      <c r="B4" s="33" t="inlineStr">
        <is>
          <t>Q-F01</t>
        </is>
      </c>
      <c r="C4" s="33" t="inlineStr">
        <is>
          <t>ECB Leverage Ratio</t>
        </is>
      </c>
      <c r="D4" s="33" t="inlineStr">
        <is>
          <t>ecbLeverageRatio</t>
        </is>
      </c>
      <c r="E4" s="33" t="inlineStr">
        <is>
          <t>ECB Leverage Ratio</t>
        </is>
      </c>
      <c r="F4" s="33" t="inlineStr">
        <is>
          <t>Ratio de levier BCE</t>
        </is>
      </c>
      <c r="G4" s="33" t="inlineStr">
        <is>
          <t>NUMERIC</t>
        </is>
      </c>
      <c r="H4" s="33" t="inlineStr">
        <is>
          <t>Yes</t>
        </is>
      </c>
      <c r="I4" s="33" t="inlineStr">
        <is>
          <t>No</t>
        </is>
      </c>
      <c r="J4" s="33" t="inlineStr">
        <is>
          <t>CALC/ecbLeverageRatio</t>
        </is>
      </c>
      <c r="K4" s="33" t="n"/>
      <c r="L4" s="33" t="n"/>
      <c r="M4" s="33">
        <f> Total ECB Debt / Adjusted EBITDA</f>
        <v/>
      </c>
      <c r="N4" s="33" t="inlineStr">
        <is>
          <t>ecbLeverageRatio</t>
        </is>
      </c>
    </row>
    <row r="5" ht="32" customHeight="1" s="17">
      <c r="A5" s="33" t="inlineStr">
        <is>
          <t>ECB</t>
        </is>
      </c>
      <c r="B5" s="33" t="inlineStr">
        <is>
          <t>Q-F01</t>
        </is>
      </c>
      <c r="C5" s="33" t="inlineStr">
        <is>
          <t>ECB Leverage Ratio</t>
        </is>
      </c>
      <c r="D5" s="33" t="inlineStr">
        <is>
          <t>ebitda</t>
        </is>
      </c>
      <c r="E5" s="33" t="inlineStr">
        <is>
          <t>EBITDA</t>
        </is>
      </c>
      <c r="F5" s="33" t="inlineStr">
        <is>
          <t>EBITDA</t>
        </is>
      </c>
      <c r="G5" s="33" t="inlineStr">
        <is>
          <t>NUMERIC</t>
        </is>
      </c>
      <c r="H5" s="33" t="inlineStr">
        <is>
          <t>Yes</t>
        </is>
      </c>
      <c r="I5" s="33" t="inlineStr">
        <is>
          <t>Yes</t>
        </is>
      </c>
      <c r="J5" s="33" t="inlineStr">
        <is>
          <t>FINANCIALS/ebitda</t>
        </is>
      </c>
      <c r="K5" s="33" t="n"/>
      <c r="L5" s="33" t="n"/>
      <c r="M5" s="33" t="inlineStr">
        <is>
          <t>Prefilled from the financials table; the analyst may overwrite it.</t>
        </is>
      </c>
      <c r="N5" s="33" t="n"/>
    </row>
    <row r="6" ht="32" customHeight="1" s="17">
      <c r="A6" s="33" t="inlineStr">
        <is>
          <t>ECB</t>
        </is>
      </c>
      <c r="B6" s="33" t="inlineStr">
        <is>
          <t>Q-F01</t>
        </is>
      </c>
      <c r="C6" s="33" t="inlineStr">
        <is>
          <t>ECB Leverage Ratio</t>
        </is>
      </c>
      <c r="D6" s="33" t="inlineStr">
        <is>
          <t>reportedLtmAdjustment</t>
        </is>
      </c>
      <c r="E6" s="33" t="inlineStr">
        <is>
          <t>Reported LTM adjustment</t>
        </is>
      </c>
      <c r="F6" s="33" t="n"/>
      <c r="G6" s="33" t="inlineStr">
        <is>
          <t>NUMERIC</t>
        </is>
      </c>
      <c r="H6" s="33" t="inlineStr">
        <is>
          <t>Yes</t>
        </is>
      </c>
      <c r="I6" s="33" t="inlineStr">
        <is>
          <t>Yes</t>
        </is>
      </c>
      <c r="J6" s="33" t="n"/>
      <c r="K6" s="33" t="n"/>
      <c r="L6" s="33" t="n"/>
      <c r="M6" s="33" t="n"/>
      <c r="N6" s="33" t="n"/>
    </row>
    <row r="7" ht="32" customHeight="1" s="17">
      <c r="A7" s="33" t="inlineStr">
        <is>
          <t>ECB</t>
        </is>
      </c>
      <c r="B7" s="33" t="inlineStr">
        <is>
          <t>Q-F01</t>
        </is>
      </c>
      <c r="C7" s="33" t="inlineStr">
        <is>
          <t>ECB Leverage Ratio</t>
        </is>
      </c>
      <c r="D7" s="33" t="inlineStr">
        <is>
          <t>proFormaPerimeterAdjustment</t>
        </is>
      </c>
      <c r="E7" s="33" t="inlineStr">
        <is>
          <t>Pro-forma perimeter adjustment</t>
        </is>
      </c>
      <c r="F7" s="33" t="n"/>
      <c r="G7" s="33" t="inlineStr">
        <is>
          <t>NUMERIC</t>
        </is>
      </c>
      <c r="H7" s="33" t="inlineStr">
        <is>
          <t>No</t>
        </is>
      </c>
      <c r="I7" s="33" t="inlineStr">
        <is>
          <t>Yes</t>
        </is>
      </c>
      <c r="J7" s="33" t="n"/>
      <c r="K7" s="33" t="inlineStr">
        <is>
          <t>Full year impact of perimeter changes (acquisition or …)  ⚠ text truncated in the BA page</t>
        </is>
      </c>
      <c r="L7" s="33" t="n"/>
      <c r="M7" s="33" t="n"/>
      <c r="N7" s="33" t="n"/>
    </row>
    <row r="8" ht="32" customHeight="1" s="17">
      <c r="A8" s="33" t="inlineStr">
        <is>
          <t>ECB</t>
        </is>
      </c>
      <c r="B8" s="33" t="inlineStr">
        <is>
          <t>Q-F01</t>
        </is>
      </c>
      <c r="C8" s="33" t="inlineStr">
        <is>
          <t>ECB Leverage Ratio</t>
        </is>
      </c>
      <c r="D8" s="33" t="inlineStr">
        <is>
          <t>ifrs16AdjustmentEbitda</t>
        </is>
      </c>
      <c r="E8" s="33" t="inlineStr">
        <is>
          <t>IFRS 16 adjustment</t>
        </is>
      </c>
      <c r="F8" s="33" t="n"/>
      <c r="G8" s="33" t="inlineStr">
        <is>
          <t>NUMERIC</t>
        </is>
      </c>
      <c r="H8" s="33" t="inlineStr">
        <is>
          <t>No</t>
        </is>
      </c>
      <c r="I8" s="33" t="inlineStr">
        <is>
          <t>Yes</t>
        </is>
      </c>
      <c r="J8" s="33" t="n"/>
      <c r="K8" s="33" t="n"/>
      <c r="L8" s="33" t="n"/>
      <c r="M8" s="33" t="n"/>
      <c r="N8" s="33" t="n"/>
    </row>
    <row r="9" ht="32" customHeight="1" s="17">
      <c r="A9" s="33" t="inlineStr">
        <is>
          <t>ECB</t>
        </is>
      </c>
      <c r="B9" s="33" t="inlineStr">
        <is>
          <t>Q-F01</t>
        </is>
      </c>
      <c r="C9" s="33" t="inlineStr">
        <is>
          <t>ECB Leverage Ratio</t>
        </is>
      </c>
      <c r="D9" s="33" t="inlineStr">
        <is>
          <t>forwardLookingAdjustment</t>
        </is>
      </c>
      <c r="E9" s="33" t="inlineStr">
        <is>
          <t>Forward looking adjustment (Synergies - Cost Saving - Run Rate)</t>
        </is>
      </c>
      <c r="F9" s="33" t="n"/>
      <c r="G9" s="33" t="inlineStr">
        <is>
          <t>NUMERIC</t>
        </is>
      </c>
      <c r="H9" s="33" t="inlineStr">
        <is>
          <t>No</t>
        </is>
      </c>
      <c r="I9" s="33" t="inlineStr">
        <is>
          <t>Yes</t>
        </is>
      </c>
      <c r="J9" s="33" t="n"/>
      <c r="K9" s="33" t="n"/>
      <c r="L9" s="33" t="n"/>
      <c r="M9" s="33" t="n"/>
      <c r="N9" s="33" t="n"/>
    </row>
    <row r="10" ht="32" customHeight="1" s="17">
      <c r="A10" s="33" t="inlineStr">
        <is>
          <t>ECB</t>
        </is>
      </c>
      <c r="B10" s="33" t="inlineStr">
        <is>
          <t>Q-F01</t>
        </is>
      </c>
      <c r="C10" s="33" t="inlineStr">
        <is>
          <t>ECB Leverage Ratio</t>
        </is>
      </c>
      <c r="D10" s="33" t="inlineStr">
        <is>
          <t>otherJustifiedAdjustment</t>
        </is>
      </c>
      <c r="E10" s="33" t="inlineStr">
        <is>
          <t>Other justified adjustment</t>
        </is>
      </c>
      <c r="F10" s="33" t="n"/>
      <c r="G10" s="33" t="inlineStr">
        <is>
          <t>NUMERIC</t>
        </is>
      </c>
      <c r="H10" s="33" t="inlineStr">
        <is>
          <t>No</t>
        </is>
      </c>
      <c r="I10" s="33" t="inlineStr">
        <is>
          <t>Yes</t>
        </is>
      </c>
      <c r="J10" s="33" t="n"/>
      <c r="K10" s="33" t="n"/>
      <c r="L10" s="33" t="n"/>
      <c r="M10" s="33" t="n"/>
      <c r="N10" s="33" t="n"/>
    </row>
    <row r="11" ht="32" customHeight="1" s="17">
      <c r="A11" s="33" t="inlineStr">
        <is>
          <t>ECB</t>
        </is>
      </c>
      <c r="B11" s="33" t="inlineStr">
        <is>
          <t>Q-F01</t>
        </is>
      </c>
      <c r="C11" s="33" t="inlineStr">
        <is>
          <t>ECB Leverage Ratio</t>
        </is>
      </c>
      <c r="D11" s="33" t="inlineStr">
        <is>
          <t>adjustedEbitda</t>
        </is>
      </c>
      <c r="E11" s="33" t="inlineStr">
        <is>
          <t>Adjusted EBITDA</t>
        </is>
      </c>
      <c r="F11" s="33" t="n"/>
      <c r="G11" s="33" t="inlineStr">
        <is>
          <t>NUMERIC</t>
        </is>
      </c>
      <c r="H11" s="33" t="inlineStr">
        <is>
          <t>No</t>
        </is>
      </c>
      <c r="I11" s="33" t="inlineStr">
        <is>
          <t>No</t>
        </is>
      </c>
      <c r="J11" s="33" t="inlineStr">
        <is>
          <t>CALC/adjustedEbitda</t>
        </is>
      </c>
      <c r="K11" s="33" t="n"/>
      <c r="L11" s="33" t="n"/>
      <c r="M11" s="33">
        <f> EBITDA + Reported LTM + Pro-forma perimeter + IFRS 16 + Forward looking + Other justified</f>
        <v/>
      </c>
      <c r="N11" s="33" t="n"/>
    </row>
    <row r="12" ht="32" customHeight="1" s="17">
      <c r="A12" s="33" t="inlineStr">
        <is>
          <t>ECB</t>
        </is>
      </c>
      <c r="B12" s="33" t="inlineStr">
        <is>
          <t>Q-F01</t>
        </is>
      </c>
      <c r="C12" s="33" t="inlineStr">
        <is>
          <t>ECB Leverage Ratio</t>
        </is>
      </c>
      <c r="D12" s="33" t="inlineStr">
        <is>
          <t>grossDebt</t>
        </is>
      </c>
      <c r="E12" s="33" t="inlineStr">
        <is>
          <t>Gross Debt</t>
        </is>
      </c>
      <c r="F12" s="33" t="n"/>
      <c r="G12" s="33" t="inlineStr">
        <is>
          <t>NUMERIC</t>
        </is>
      </c>
      <c r="H12" s="33" t="inlineStr">
        <is>
          <t>Yes</t>
        </is>
      </c>
      <c r="I12" s="33" t="inlineStr">
        <is>
          <t>Yes</t>
        </is>
      </c>
      <c r="J12" s="33" t="inlineStr">
        <is>
          <t>FINANCIALS/grossDebt</t>
        </is>
      </c>
      <c r="K12" s="33" t="n"/>
      <c r="L12" s="33" t="n"/>
      <c r="M12" s="33" t="inlineStr">
        <is>
          <t>Prefilled from the financials table; the analyst may overwrite it.</t>
        </is>
      </c>
      <c r="N12" s="33" t="n"/>
    </row>
    <row r="13" ht="32" customHeight="1" s="17">
      <c r="A13" s="33" t="inlineStr">
        <is>
          <t>ECB</t>
        </is>
      </c>
      <c r="B13" s="33" t="inlineStr">
        <is>
          <t>Q-F01</t>
        </is>
      </c>
      <c r="C13" s="33" t="inlineStr">
        <is>
          <t>ECB Leverage Ratio</t>
        </is>
      </c>
      <c r="D13" s="33" t="inlineStr">
        <is>
          <t>committedUndrawnDebt</t>
        </is>
      </c>
      <c r="E13" s="33" t="inlineStr">
        <is>
          <t>Committed Undrawn Debt</t>
        </is>
      </c>
      <c r="F13" s="33" t="n"/>
      <c r="G13" s="33" t="inlineStr">
        <is>
          <t>NUMERIC</t>
        </is>
      </c>
      <c r="H13" s="33" t="inlineStr">
        <is>
          <t>No</t>
        </is>
      </c>
      <c r="I13" s="33" t="inlineStr">
        <is>
          <t>Yes</t>
        </is>
      </c>
      <c r="J13" s="33" t="n"/>
      <c r="K13" s="33" t="n"/>
      <c r="L13" s="33" t="n"/>
      <c r="M13" s="33" t="n"/>
      <c r="N13" s="33" t="n"/>
    </row>
    <row r="14" ht="32" customHeight="1" s="17">
      <c r="A14" s="33" t="inlineStr">
        <is>
          <t>ECB</t>
        </is>
      </c>
      <c r="B14" s="33" t="inlineStr">
        <is>
          <t>Q-F01</t>
        </is>
      </c>
      <c r="C14" s="33" t="inlineStr">
        <is>
          <t>ECB Leverage Ratio</t>
        </is>
      </c>
      <c r="D14" s="33" t="inlineStr">
        <is>
          <t>newDrawnDebt</t>
        </is>
      </c>
      <c r="E14" s="33" t="inlineStr">
        <is>
          <t>New Drawn Debt</t>
        </is>
      </c>
      <c r="F14" s="33" t="n"/>
      <c r="G14" s="33" t="inlineStr">
        <is>
          <t>NUMERIC</t>
        </is>
      </c>
      <c r="H14" s="33" t="inlineStr">
        <is>
          <t>No</t>
        </is>
      </c>
      <c r="I14" s="33" t="inlineStr">
        <is>
          <t>Yes</t>
        </is>
      </c>
      <c r="J14" s="33" t="n"/>
      <c r="K14" s="33" t="n"/>
      <c r="L14" s="33" t="n"/>
      <c r="M14" s="33" t="n"/>
      <c r="N14" s="33" t="n"/>
    </row>
    <row r="15" ht="32" customHeight="1" s="17">
      <c r="A15" s="33" t="inlineStr">
        <is>
          <t>ECB</t>
        </is>
      </c>
      <c r="B15" s="33" t="inlineStr">
        <is>
          <t>Q-F01</t>
        </is>
      </c>
      <c r="C15" s="33" t="inlineStr">
        <is>
          <t>ECB Leverage Ratio</t>
        </is>
      </c>
      <c r="D15" s="33" t="inlineStr">
        <is>
          <t>newCommittedUndrawnDebt</t>
        </is>
      </c>
      <c r="E15" s="33" t="inlineStr">
        <is>
          <t>New Committed Undrawn Debt</t>
        </is>
      </c>
      <c r="F15" s="33" t="n"/>
      <c r="G15" s="33" t="inlineStr">
        <is>
          <t>NUMERIC</t>
        </is>
      </c>
      <c r="H15" s="33" t="inlineStr">
        <is>
          <t>No</t>
        </is>
      </c>
      <c r="I15" s="33" t="inlineStr">
        <is>
          <t>Yes</t>
        </is>
      </c>
      <c r="J15" s="33" t="n"/>
      <c r="K15" s="33" t="n"/>
      <c r="L15" s="33" t="n"/>
      <c r="M15" s="33" t="n"/>
      <c r="N15" s="33" t="n"/>
    </row>
    <row r="16" ht="32" customHeight="1" s="17">
      <c r="A16" s="33" t="inlineStr">
        <is>
          <t>ECB</t>
        </is>
      </c>
      <c r="B16" s="33" t="inlineStr">
        <is>
          <t>Q-F01</t>
        </is>
      </c>
      <c r="C16" s="33" t="inlineStr">
        <is>
          <t>ECB Leverage Ratio</t>
        </is>
      </c>
      <c r="D16" s="33" t="inlineStr">
        <is>
          <t>ifrs16AdjustmentDebt</t>
        </is>
      </c>
      <c r="E16" s="33" t="inlineStr">
        <is>
          <t>IFRS 16 adjustment</t>
        </is>
      </c>
      <c r="F16" s="33" t="n"/>
      <c r="G16" s="33" t="inlineStr">
        <is>
          <t>NUMERIC</t>
        </is>
      </c>
      <c r="H16" s="33" t="inlineStr">
        <is>
          <t>No</t>
        </is>
      </c>
      <c r="I16" s="33" t="inlineStr">
        <is>
          <t>Yes</t>
        </is>
      </c>
      <c r="J16" s="33" t="n"/>
      <c r="K16" s="33" t="n"/>
      <c r="L16" s="33" t="n"/>
      <c r="M16" s="33" t="n"/>
      <c r="N16" s="33" t="n"/>
    </row>
    <row r="17" ht="32" customHeight="1" s="17">
      <c r="A17" s="33" t="inlineStr">
        <is>
          <t>ECB</t>
        </is>
      </c>
      <c r="B17" s="33" t="inlineStr">
        <is>
          <t>Q-F01</t>
        </is>
      </c>
      <c r="C17" s="33" t="inlineStr">
        <is>
          <t>ECB Leverage Ratio</t>
        </is>
      </c>
      <c r="D17" s="33" t="inlineStr">
        <is>
          <t>otherAdjustmentDebt</t>
        </is>
      </c>
      <c r="E17" s="33" t="inlineStr">
        <is>
          <t>Other Adjustment</t>
        </is>
      </c>
      <c r="F17" s="33" t="n"/>
      <c r="G17" s="33" t="inlineStr">
        <is>
          <t>NUMERIC</t>
        </is>
      </c>
      <c r="H17" s="33" t="inlineStr">
        <is>
          <t>No</t>
        </is>
      </c>
      <c r="I17" s="33" t="inlineStr">
        <is>
          <t>Yes</t>
        </is>
      </c>
      <c r="J17" s="33" t="n"/>
      <c r="K17" s="33" t="n"/>
      <c r="L17" s="33" t="n"/>
      <c r="M17" s="33" t="n"/>
      <c r="N17" s="33" t="n"/>
    </row>
    <row r="18" ht="32" customHeight="1" s="17">
      <c r="A18" s="33" t="inlineStr">
        <is>
          <t>ECB</t>
        </is>
      </c>
      <c r="B18" s="33" t="inlineStr">
        <is>
          <t>Q-F01</t>
        </is>
      </c>
      <c r="C18" s="33" t="inlineStr">
        <is>
          <t>ECB Leverage Ratio</t>
        </is>
      </c>
      <c r="D18" s="33" t="inlineStr">
        <is>
          <t>totalEcbDebt</t>
        </is>
      </c>
      <c r="E18" s="33" t="inlineStr">
        <is>
          <t>Total ECB Debt</t>
        </is>
      </c>
      <c r="F18" s="33" t="n"/>
      <c r="G18" s="33" t="inlineStr">
        <is>
          <t>NUMERIC</t>
        </is>
      </c>
      <c r="H18" s="33" t="inlineStr">
        <is>
          <t>Yes</t>
        </is>
      </c>
      <c r="I18" s="33" t="inlineStr">
        <is>
          <t>No</t>
        </is>
      </c>
      <c r="J18" s="33" t="inlineStr">
        <is>
          <t>CALC/totalEcbDebt</t>
        </is>
      </c>
      <c r="K18" s="33" t="n"/>
      <c r="L18" s="33" t="n"/>
      <c r="M18" s="33">
        <f> Gross Debt + Committed Undrawn + New Drawn + New Committed Undrawn + IFRS 16 + Other Adjustment</f>
        <v/>
      </c>
      <c r="N18" s="33" t="n"/>
    </row>
    <row r="19" ht="32" customHeight="1" s="17">
      <c r="A19" s="33" t="inlineStr">
        <is>
          <t>ECB</t>
        </is>
      </c>
      <c r="B19" s="33" t="inlineStr">
        <is>
          <t>Q-F01</t>
        </is>
      </c>
      <c r="C19" s="33" t="inlineStr">
        <is>
          <t>Net Funded Leverage Ratio</t>
        </is>
      </c>
      <c r="D19" s="33" t="inlineStr">
        <is>
          <t>totalNetFundedDebt</t>
        </is>
      </c>
      <c r="E19" s="33" t="inlineStr">
        <is>
          <t>Total Net Funded Debt</t>
        </is>
      </c>
      <c r="F19" s="33" t="n"/>
      <c r="G19" s="33" t="inlineStr">
        <is>
          <t>NUMERIC</t>
        </is>
      </c>
      <c r="H19" s="33" t="inlineStr">
        <is>
          <t>No</t>
        </is>
      </c>
      <c r="I19" s="33" t="inlineStr">
        <is>
          <t>No</t>
        </is>
      </c>
      <c r="J19" s="33" t="inlineStr">
        <is>
          <t>CALC/totalNetFundedDebt</t>
        </is>
      </c>
      <c r="K19" s="33" t="n"/>
      <c r="L19" s="33" t="n"/>
      <c r="M19" s="33">
        <f> Net Debt (financials table) + New Drawn Debt</f>
        <v/>
      </c>
      <c r="N19" s="33" t="n"/>
    </row>
    <row r="20" ht="32" customHeight="1" s="17">
      <c r="A20" s="33" t="inlineStr">
        <is>
          <t>ECB</t>
        </is>
      </c>
      <c r="B20" s="33" t="inlineStr">
        <is>
          <t>Q-F01</t>
        </is>
      </c>
      <c r="C20" s="33" t="inlineStr">
        <is>
          <t>Net Funded Leverage Ratio</t>
        </is>
      </c>
      <c r="D20" s="33" t="inlineStr">
        <is>
          <t>netFundedLeverageRatio</t>
        </is>
      </c>
      <c r="E20" s="33" t="inlineStr">
        <is>
          <t>Net Funded Leverage Ratio</t>
        </is>
      </c>
      <c r="F20" s="33" t="n"/>
      <c r="G20" s="33" t="inlineStr">
        <is>
          <t>NUMERIC</t>
        </is>
      </c>
      <c r="H20" s="33" t="inlineStr">
        <is>
          <t>Yes</t>
        </is>
      </c>
      <c r="I20" s="33" t="inlineStr">
        <is>
          <t>No</t>
        </is>
      </c>
      <c r="J20" s="33" t="inlineStr">
        <is>
          <t>CALC/netFundedLeverageRatio</t>
        </is>
      </c>
      <c r="K20" s="33" t="n"/>
      <c r="L20" s="33" t="n"/>
      <c r="M20" s="33">
        <f> Total Net Funded Debt / Adjusted EBITDA</f>
        <v/>
      </c>
      <c r="N20" s="33" t="n"/>
    </row>
    <row r="23" ht="56" customHeight="1" s="17">
      <c r="A23" s="41" t="inlineStr">
        <is>
          <t>⚠ French labels are still missing on every row but EBITDA.  •  The UX mock-up shows a "Cash" input and three analyst-named free adjustment rows: BOTH ARE IGNORED. This tab is the source of truth — the designer was working without the business rules.  •  EBITDA and Gross Debt are Mandatory here although the BA page leaves the column blank, because both raise an error when empty.</t>
        </is>
      </c>
    </row>
  </sheetData>
  <pageMargins left="0.75" right="0.75" top="1" bottom="1" header="0.5" footer="0.5"/>
</worksheet>
</file>

<file path=xl/worksheets/sheet7.xml><?xml version="1.0" encoding="utf-8"?>
<worksheet xmlns="http://schemas.openxmlformats.org/spreadsheetml/2006/main">
  <sheetPr filterMode="0">
    <outlinePr summaryBelow="1" summaryRight="1"/>
    <pageSetUpPr fitToPage="0"/>
  </sheetPr>
  <dimension ref="A1:V4"/>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3" customWidth="1" style="16" min="1" max="1"/>
    <col width="6" customWidth="1" style="16" min="2" max="2"/>
    <col width="15" customWidth="1" style="16" min="3" max="3"/>
    <col width="10" customWidth="1" style="16" min="4" max="4"/>
    <col width="9" customWidth="1" style="16" min="5" max="7"/>
    <col width="26" customWidth="1" style="16" min="8" max="8"/>
    <col width="34" customWidth="1" style="16" min="9" max="9"/>
    <col width="18" customWidth="1" style="16" min="10" max="10"/>
    <col width="30" customWidth="1" style="16" min="11" max="11"/>
    <col width="24" customWidth="1" style="16" min="12" max="14"/>
    <col width="22" customWidth="1" style="16" min="15" max="16"/>
    <col width="40" customWidth="1" style="16" min="17" max="17"/>
    <col width="40" customWidth="1" style="16" min="18" max="18"/>
    <col width="34" customWidth="1" style="16" min="19" max="19"/>
    <col width="40" customWidth="1" style="16" min="20" max="20"/>
    <col width="20" customWidth="1" style="17" min="21" max="21"/>
  </cols>
  <sheetData>
    <row r="1" ht="18.55" customHeight="1" s="17">
      <c r="A1" s="18" t="inlineStr">
        <is>
          <t>FED — Questions</t>
        </is>
      </c>
    </row>
    <row r="2" ht="15" customHeight="1" s="17">
      <c r="A2" s="43" t="inlineStr">
        <is>
          <t>One row per question. See the Instructions tab for the column meanings and the Branches language. Rows are written breadth-first for readability; the order questions appear on screen comes from the Branches, not from the row position.</t>
        </is>
      </c>
    </row>
    <row r="3" ht="15" customHeight="1" s="17">
      <c r="A3" s="36" t="inlineStr">
        <is>
          <t>Question Key</t>
        </is>
      </c>
      <c r="B3" s="36" t="inlineStr">
        <is>
          <t>Type</t>
        </is>
      </c>
      <c r="C3" s="36" t="inlineStr">
        <is>
          <t>Mandatory</t>
        </is>
      </c>
      <c r="D3" s="36" t="inlineStr">
        <is>
          <t>Computed</t>
        </is>
      </c>
      <c r="E3" s="36" t="inlineStr">
        <is>
          <t>Editable</t>
        </is>
      </c>
      <c r="F3" s="36" t="inlineStr">
        <is>
          <t>Derived From</t>
        </is>
      </c>
      <c r="G3" s="40" t="inlineStr">
        <is>
          <t>Value Rules</t>
        </is>
      </c>
      <c r="H3" s="40" t="inlineStr">
        <is>
          <t>Prefill From</t>
        </is>
      </c>
      <c r="I3" s="36" t="inlineStr">
        <is>
          <t>Label EN</t>
        </is>
      </c>
      <c r="J3" s="36" t="inlineStr">
        <is>
          <t>Bullets EN</t>
        </is>
      </c>
      <c r="K3" s="36" t="inlineStr">
        <is>
          <t>Label FR</t>
        </is>
      </c>
      <c r="L3" s="36" t="inlineStr">
        <is>
          <t>Bullets FR</t>
        </is>
      </c>
      <c r="M3" s="36" t="inlineStr">
        <is>
          <t>Subtitle EN</t>
        </is>
      </c>
      <c r="N3" s="36" t="inlineStr">
        <is>
          <t>Subtitle FR</t>
        </is>
      </c>
      <c r="O3" s="36" t="inlineStr">
        <is>
          <t>Note EN</t>
        </is>
      </c>
      <c r="P3" s="36" t="inlineStr">
        <is>
          <t>Note FR</t>
        </is>
      </c>
      <c r="Q3" s="40" t="inlineStr">
        <is>
          <t>Note Bullets EN</t>
        </is>
      </c>
      <c r="R3" s="40" t="inlineStr">
        <is>
          <t>Note Bullets FR</t>
        </is>
      </c>
      <c r="S3" s="36" t="inlineStr">
        <is>
          <t>Options</t>
        </is>
      </c>
      <c r="T3" s="36" t="inlineStr">
        <is>
          <t>Items</t>
        </is>
      </c>
      <c r="U3" s="36" t="inlineStr">
        <is>
          <t>Branches</t>
        </is>
      </c>
      <c r="V3" s="40" t="inlineStr">
        <is>
          <t>Fills Flag</t>
        </is>
      </c>
    </row>
    <row r="4" ht="46.25" customHeight="1" s="17">
      <c r="A4" s="37" t="inlineStr">
        <is>
          <t>Q01</t>
        </is>
      </c>
      <c r="B4" s="37" t="inlineStr">
        <is>
          <t>SINGLE_CHOICE</t>
        </is>
      </c>
      <c r="C4" s="37" t="inlineStr">
        <is>
          <t>Yes</t>
        </is>
      </c>
      <c r="D4" s="37" t="inlineStr">
        <is>
          <t>No</t>
        </is>
      </c>
      <c r="E4" s="37" t="inlineStr">
        <is>
          <t>Yes</t>
        </is>
      </c>
      <c r="F4" s="37" t="n"/>
      <c r="I4" s="37" t="inlineStr">
        <is>
          <t>(Example) Replace with the real FED question</t>
        </is>
      </c>
      <c r="J4" s="37" t="n"/>
      <c r="K4" s="37" t="inlineStr">
        <is>
          <t>(Exemple) Remplacer par la vraie question FED</t>
        </is>
      </c>
      <c r="L4" s="37" t="n"/>
      <c r="M4" s="37" t="n"/>
      <c r="N4" s="37" t="n"/>
      <c r="O4" s="37" t="n"/>
      <c r="P4" s="37" t="n"/>
      <c r="S4" s="37" t="inlineStr">
        <is>
          <t>YES|Yes|Oui ; NO|No|Non</t>
        </is>
      </c>
      <c r="T4" s="37" t="n"/>
      <c r="U4" s="37" t="inlineStr">
        <is>
          <t>YES -&gt; END, flags: fedLeveragedFlag=FED_LEVERAGED_HIGH_RISK
NO -&gt; END, flags: fedLeveragedFlag=FED_NOT_LEVERAGED</t>
        </is>
      </c>
    </row>
  </sheetData>
  <dataValidations count="5">
    <dataValidation sqref="C4:C80" showDropDown="0" showInputMessage="0" showErrorMessage="0" allowBlank="1" type="list" errorStyle="stop" operator="between">
      <formula1>"SINGLE_CHOICE,NUMERIC,TEXT,CHECKLIST,DATA_ENTRY,COMPUTED"</formula1>
      <formula2>0</formula2>
    </dataValidation>
    <dataValidation sqref="D4:D80" showDropDown="0" showInputMessage="0" showErrorMessage="0" allowBlank="1" type="list" errorStyle="stop" operator="between">
      <formula1>"Yes,No"</formula1>
      <formula2>0</formula2>
    </dataValidation>
    <dataValidation sqref="E4:E80" showDropDown="0" showInputMessage="0" showErrorMessage="0" allowBlank="1" type="list" errorStyle="stop" operator="between">
      <formula1>"Yes,No"</formula1>
      <formula2>0</formula2>
    </dataValidation>
    <dataValidation sqref="F4:F80" showDropDown="0" showInputMessage="0" showErrorMessage="0" allowBlank="1" type="list" errorStyle="stop" operator="between">
      <formula1>"Yes,No"</formula1>
      <formula2>0</formula2>
    </dataValidation>
    <dataValidation sqref="G4:G80"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2026-06-30T07:04:18Z</dcterms:created>
  <dcterms:modified xmlns:dcterms="http://purl.org/dc/terms/" xmlns:xsi="http://www.w3.org/2001/XMLSchema-instance" xsi:type="dcterms:W3CDTF">2026-08-03T05:32:50Z</dcterms:modified>
  <cp:revision>0</cp:revision>
</cp:coreProperties>
</file>